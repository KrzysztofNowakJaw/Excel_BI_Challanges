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filterPrivacy="1" hidePivotFieldList="1"/>
  <xr:revisionPtr revIDLastSave="0" documentId="13_ncr:1_{F1C83BB4-7E0F-4844-B092-A556859BCC26}" xr6:coauthVersionLast="47" xr6:coauthVersionMax="47" xr10:uidLastSave="{00000000-0000-0000-0000-000000000000}"/>
  <bookViews>
    <workbookView xWindow="-108" yWindow="-108" windowWidth="23256" windowHeight="12576" tabRatio="883" xr2:uid="{00000000-000D-0000-FFFF-FFFF00000000}"/>
  </bookViews>
  <sheets>
    <sheet name="P&amp;L" sheetId="1" r:id="rId1"/>
    <sheet name="IS" sheetId="18" r:id="rId2"/>
    <sheet name="." sheetId="16" r:id="rId3"/>
    <sheet name="  " sheetId="15" r:id="rId4"/>
    <sheet name="SL" sheetId="6" r:id="rId5"/>
    <sheet name="list of materials" sheetId="3" r:id="rId6"/>
    <sheet name="BOM &amp; Std price" sheetId="2" r:id="rId7"/>
    <sheet name="MvT types" sheetId="4" r:id="rId8"/>
    <sheet name="Movements" sheetId="5" r:id="rId9"/>
    <sheet name="MvT pivot" sheetId="17" r:id="rId10"/>
    <sheet name="Stocks" sheetId="7" r:id="rId11"/>
    <sheet name="Sales" sheetId="9" r:id="rId12"/>
    <sheet name="Purchases &amp; PPV" sheetId="8" r:id="rId13"/>
    <sheet name="Stock reval" sheetId="10" r:id="rId14"/>
    <sheet name="Formulation &amp; overusage" sheetId="11" r:id="rId15"/>
    <sheet name="LOCOM" sheetId="13" r:id="rId16"/>
    <sheet name="Slow moving" sheetId="12" r:id="rId17"/>
  </sheets>
  <definedNames>
    <definedName name="_xlnm._FilterDatabase" localSheetId="8" hidden="1">Movements!$A$1:$L$116</definedName>
  </definedNames>
  <calcPr calcId="191029"/>
  <pivotCaches>
    <pivotCache cacheId="14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6" i="7" l="1"/>
  <c r="G16" i="7"/>
  <c r="H16" i="7"/>
  <c r="F17" i="7"/>
  <c r="G17" i="7"/>
  <c r="H17" i="7"/>
  <c r="F18" i="7"/>
  <c r="G18" i="7"/>
  <c r="H18" i="7"/>
  <c r="F19" i="7"/>
  <c r="G19" i="7"/>
  <c r="H19" i="7"/>
  <c r="F20" i="7"/>
  <c r="G20" i="7"/>
  <c r="H20" i="7"/>
  <c r="F21" i="7"/>
  <c r="G21" i="7"/>
  <c r="H21" i="7"/>
  <c r="F22" i="7"/>
  <c r="G22" i="7"/>
  <c r="H22" i="7"/>
  <c r="E17" i="7"/>
  <c r="E18" i="7"/>
  <c r="E19" i="7"/>
  <c r="E20" i="7"/>
  <c r="E21" i="7"/>
  <c r="E22" i="7"/>
  <c r="E16" i="7"/>
  <c r="F9" i="7"/>
  <c r="G9" i="7"/>
  <c r="H9" i="7"/>
  <c r="F10" i="7"/>
  <c r="G10" i="7"/>
  <c r="H10" i="7"/>
  <c r="F11" i="7"/>
  <c r="G11" i="7"/>
  <c r="H11" i="7"/>
  <c r="F12" i="7"/>
  <c r="G12" i="7"/>
  <c r="H12" i="7"/>
  <c r="F13" i="7"/>
  <c r="G13" i="7"/>
  <c r="H13" i="7"/>
  <c r="F14" i="7"/>
  <c r="G14" i="7"/>
  <c r="H14" i="7"/>
  <c r="F15" i="7"/>
  <c r="G15" i="7"/>
  <c r="H15" i="7"/>
  <c r="E10" i="7"/>
  <c r="E11" i="7"/>
  <c r="E12" i="7"/>
  <c r="E13" i="7"/>
  <c r="E14" i="7"/>
  <c r="E15" i="7"/>
  <c r="E9" i="7"/>
  <c r="K3" i="7" l="1"/>
  <c r="K4" i="7"/>
  <c r="K5" i="7"/>
  <c r="K6" i="7"/>
  <c r="K7" i="7"/>
  <c r="K8" i="7"/>
  <c r="K2" i="7"/>
  <c r="E14" i="13"/>
  <c r="D30" i="1" s="1"/>
  <c r="F6" i="13"/>
  <c r="G6" i="13"/>
  <c r="H6" i="13"/>
  <c r="G5" i="13"/>
  <c r="H5" i="13"/>
  <c r="F5" i="13"/>
  <c r="D36" i="12"/>
  <c r="D29" i="1" s="1"/>
  <c r="Q21" i="12"/>
  <c r="L21" i="12" s="1"/>
  <c r="Q22" i="12"/>
  <c r="L22" i="12" s="1"/>
  <c r="Q23" i="12"/>
  <c r="L23" i="12" s="1"/>
  <c r="Q25" i="12"/>
  <c r="L25" i="12" s="1"/>
  <c r="I6" i="8" l="1"/>
  <c r="F21" i="8" s="1"/>
  <c r="I7" i="8"/>
  <c r="F22" i="8" s="1"/>
  <c r="I8" i="8"/>
  <c r="F23" i="8" s="1"/>
  <c r="I5" i="8"/>
  <c r="F20" i="8" s="1"/>
  <c r="A16" i="10"/>
  <c r="A15" i="10"/>
  <c r="A14" i="10"/>
  <c r="A13" i="10"/>
  <c r="A12" i="10"/>
  <c r="A11" i="10"/>
  <c r="A10" i="10"/>
  <c r="J8" i="10"/>
  <c r="J7" i="10"/>
  <c r="J6" i="10"/>
  <c r="J5" i="10"/>
  <c r="J4" i="10"/>
  <c r="J3" i="10"/>
  <c r="J2" i="10"/>
  <c r="A8" i="10"/>
  <c r="A7" i="10"/>
  <c r="A6" i="10"/>
  <c r="A5" i="10"/>
  <c r="A4" i="10"/>
  <c r="A3" i="10"/>
  <c r="A2" i="10"/>
  <c r="P4" i="10"/>
  <c r="P5" i="10"/>
  <c r="P6" i="10"/>
  <c r="P8" i="10"/>
  <c r="Q4" i="10"/>
  <c r="Q5" i="10"/>
  <c r="Q6" i="10"/>
  <c r="Q8" i="10"/>
  <c r="P15" i="11"/>
  <c r="P16" i="11"/>
  <c r="P14" i="11"/>
  <c r="M55" i="11"/>
  <c r="N55" i="11"/>
  <c r="O55" i="11"/>
  <c r="P55" i="11"/>
  <c r="Q55" i="11"/>
  <c r="M56" i="11"/>
  <c r="N56" i="11"/>
  <c r="O56" i="11"/>
  <c r="P56" i="11"/>
  <c r="Q56" i="11"/>
  <c r="M57" i="11"/>
  <c r="N57" i="11"/>
  <c r="O57" i="11"/>
  <c r="P57" i="11"/>
  <c r="Q57" i="11"/>
  <c r="M58" i="11"/>
  <c r="N58" i="11"/>
  <c r="O58" i="11"/>
  <c r="P58" i="11"/>
  <c r="Q58" i="11"/>
  <c r="L56" i="11"/>
  <c r="L57" i="11"/>
  <c r="L58" i="11"/>
  <c r="L55" i="11"/>
  <c r="L3" i="11"/>
  <c r="L35" i="11"/>
  <c r="L36" i="11"/>
  <c r="N35" i="11"/>
  <c r="O35" i="11"/>
  <c r="P35" i="11"/>
  <c r="Q35" i="11"/>
  <c r="N36" i="11"/>
  <c r="O36" i="11"/>
  <c r="P36" i="11"/>
  <c r="Q36" i="11"/>
  <c r="M36" i="11"/>
  <c r="M35" i="11"/>
  <c r="P4" i="11"/>
  <c r="Q4" i="11"/>
  <c r="P5" i="11"/>
  <c r="Q5" i="11"/>
  <c r="P6" i="11"/>
  <c r="Q6" i="11"/>
  <c r="P3" i="11"/>
  <c r="Q3" i="11"/>
  <c r="J113" i="5"/>
  <c r="J112" i="5"/>
  <c r="J111" i="5"/>
  <c r="J110" i="5"/>
  <c r="J101" i="5"/>
  <c r="J98" i="5"/>
  <c r="J95" i="5"/>
  <c r="J92" i="5"/>
  <c r="J89" i="5"/>
  <c r="J84" i="5"/>
  <c r="J83" i="5"/>
  <c r="J82" i="5"/>
  <c r="J75" i="5"/>
  <c r="J72" i="5"/>
  <c r="J69" i="5"/>
  <c r="J66" i="5"/>
  <c r="J64" i="5"/>
  <c r="J57" i="5"/>
  <c r="J55" i="5"/>
  <c r="J48" i="5"/>
  <c r="J46" i="5"/>
  <c r="P27" i="2"/>
  <c r="P26" i="2"/>
  <c r="P25" i="2"/>
  <c r="P15" i="2"/>
  <c r="P5" i="2"/>
  <c r="P3" i="2"/>
  <c r="O26" i="2"/>
  <c r="O27" i="2"/>
  <c r="O25" i="2"/>
  <c r="O15" i="2"/>
  <c r="O4" i="2"/>
  <c r="O5" i="2"/>
  <c r="O3" i="2"/>
  <c r="I10" i="2"/>
  <c r="I11" i="2" s="1"/>
  <c r="H32" i="2"/>
  <c r="H33" i="2" s="1"/>
  <c r="P8" i="11" s="1"/>
  <c r="H19" i="2"/>
  <c r="P37" i="11" s="1"/>
  <c r="P38" i="11" s="1"/>
  <c r="H11" i="2"/>
  <c r="H10" i="2"/>
  <c r="P59" i="11" s="1"/>
  <c r="P60" i="11" s="1"/>
  <c r="D116" i="5"/>
  <c r="C116" i="5"/>
  <c r="H116" i="5"/>
  <c r="F116" i="5"/>
  <c r="D10" i="12"/>
  <c r="D11" i="12"/>
  <c r="D12" i="12"/>
  <c r="D13" i="12"/>
  <c r="D14" i="12"/>
  <c r="D15" i="12"/>
  <c r="D9" i="12"/>
  <c r="Q26" i="2" l="1"/>
  <c r="P7" i="11"/>
  <c r="H20" i="2"/>
  <c r="Q59" i="11"/>
  <c r="Q60" i="11" s="1"/>
  <c r="F13" i="8"/>
  <c r="F16" i="8"/>
  <c r="F15" i="8"/>
  <c r="F14" i="8"/>
  <c r="Q27" i="2"/>
  <c r="Q25" i="2"/>
  <c r="Q15" i="2"/>
  <c r="Q17" i="2" s="1"/>
  <c r="Q5" i="2"/>
  <c r="Q3" i="2"/>
  <c r="H17" i="1"/>
  <c r="H16" i="1"/>
  <c r="H15" i="1"/>
  <c r="B58" i="11"/>
  <c r="B59" i="11"/>
  <c r="B60" i="11"/>
  <c r="B62" i="11"/>
  <c r="B63" i="11"/>
  <c r="B64" i="11"/>
  <c r="B66" i="11"/>
  <c r="B67" i="11"/>
  <c r="B68" i="11"/>
  <c r="B70" i="11"/>
  <c r="B71" i="11"/>
  <c r="B72" i="11"/>
  <c r="B74" i="11"/>
  <c r="B75" i="11"/>
  <c r="B76" i="11"/>
  <c r="B78" i="11"/>
  <c r="B79" i="11"/>
  <c r="B80" i="11"/>
  <c r="B82" i="11"/>
  <c r="B83" i="11"/>
  <c r="B84" i="11"/>
  <c r="B50" i="11"/>
  <c r="B52" i="11"/>
  <c r="B38" i="11"/>
  <c r="B40" i="11"/>
  <c r="B42" i="11"/>
  <c r="B44" i="11"/>
  <c r="B46" i="11"/>
  <c r="B10" i="11"/>
  <c r="B11" i="11"/>
  <c r="B12" i="11"/>
  <c r="B14" i="11"/>
  <c r="B15" i="11"/>
  <c r="B16" i="11"/>
  <c r="B18" i="11"/>
  <c r="B19" i="11"/>
  <c r="B20" i="11"/>
  <c r="B22" i="11"/>
  <c r="B23" i="11"/>
  <c r="B24" i="11"/>
  <c r="B26" i="11"/>
  <c r="B27" i="11"/>
  <c r="B28" i="11"/>
  <c r="B30" i="11"/>
  <c r="B31" i="11"/>
  <c r="B32" i="11"/>
  <c r="B6" i="11"/>
  <c r="B7" i="11"/>
  <c r="B8" i="11"/>
  <c r="D88" i="11"/>
  <c r="J68" i="11"/>
  <c r="J67" i="11"/>
  <c r="J66" i="11"/>
  <c r="D56" i="11"/>
  <c r="D58" i="11" s="1"/>
  <c r="C84" i="11"/>
  <c r="C83" i="11"/>
  <c r="C82" i="11"/>
  <c r="C80" i="11"/>
  <c r="C79" i="11"/>
  <c r="C78" i="11"/>
  <c r="C76" i="11"/>
  <c r="D76" i="11" s="1"/>
  <c r="C75" i="11"/>
  <c r="D75" i="11" s="1"/>
  <c r="C74" i="11"/>
  <c r="C72" i="11"/>
  <c r="C71" i="11"/>
  <c r="C70" i="11"/>
  <c r="C68" i="11"/>
  <c r="C67" i="11"/>
  <c r="C66" i="11"/>
  <c r="C64" i="11"/>
  <c r="C63" i="11"/>
  <c r="C62" i="11"/>
  <c r="C60" i="11"/>
  <c r="C59" i="11"/>
  <c r="C58" i="11"/>
  <c r="J41" i="11"/>
  <c r="D36" i="11"/>
  <c r="D40" i="11" s="1"/>
  <c r="C52" i="11"/>
  <c r="C50" i="11"/>
  <c r="C46" i="11"/>
  <c r="C44" i="11"/>
  <c r="C42" i="11"/>
  <c r="C40" i="11"/>
  <c r="C38" i="11"/>
  <c r="C31" i="11"/>
  <c r="C32" i="11"/>
  <c r="C30" i="11"/>
  <c r="C27" i="11"/>
  <c r="C28" i="11"/>
  <c r="C26" i="11"/>
  <c r="C23" i="11"/>
  <c r="D23" i="11" s="1"/>
  <c r="C24" i="11"/>
  <c r="C22" i="11"/>
  <c r="D22" i="11" s="1"/>
  <c r="C19" i="11"/>
  <c r="C20" i="11"/>
  <c r="C18" i="11"/>
  <c r="M15" i="11"/>
  <c r="N15" i="11"/>
  <c r="O15" i="11"/>
  <c r="M16" i="11"/>
  <c r="N16" i="11"/>
  <c r="O16" i="11"/>
  <c r="N14" i="11"/>
  <c r="O14" i="11"/>
  <c r="M14" i="11"/>
  <c r="J16" i="11"/>
  <c r="J15" i="11"/>
  <c r="J14" i="11"/>
  <c r="C15" i="11"/>
  <c r="C16" i="11"/>
  <c r="C14" i="11"/>
  <c r="C11" i="11"/>
  <c r="C12" i="11"/>
  <c r="C10" i="11"/>
  <c r="M4" i="11"/>
  <c r="N4" i="11"/>
  <c r="O4" i="11"/>
  <c r="M5" i="11"/>
  <c r="N5" i="11"/>
  <c r="O5" i="11"/>
  <c r="M6" i="11"/>
  <c r="N6" i="11"/>
  <c r="O6" i="11"/>
  <c r="N3" i="11"/>
  <c r="O3" i="11"/>
  <c r="M3" i="11"/>
  <c r="C7" i="11"/>
  <c r="C8" i="11"/>
  <c r="C6" i="11"/>
  <c r="L7" i="11"/>
  <c r="L8" i="11" s="1"/>
  <c r="D4" i="11"/>
  <c r="D11" i="11" s="1"/>
  <c r="Q29" i="2" l="1"/>
  <c r="P29" i="2" s="1"/>
  <c r="F4" i="3" s="1"/>
  <c r="H8" i="13"/>
  <c r="J14" i="5"/>
  <c r="J33" i="5"/>
  <c r="P3" i="10"/>
  <c r="J27" i="5"/>
  <c r="J21" i="5"/>
  <c r="J116" i="5"/>
  <c r="Q3" i="10"/>
  <c r="Q33" i="2"/>
  <c r="P33" i="2" s="1"/>
  <c r="Q21" i="2"/>
  <c r="P21" i="2" s="1"/>
  <c r="P17" i="2"/>
  <c r="F8" i="3" s="1"/>
  <c r="D46" i="11"/>
  <c r="D50" i="11" s="1"/>
  <c r="D74" i="11"/>
  <c r="D38" i="11"/>
  <c r="D42" i="11" s="1"/>
  <c r="D59" i="11"/>
  <c r="D64" i="11"/>
  <c r="D80" i="11" s="1"/>
  <c r="D62" i="11"/>
  <c r="D66" i="11" s="1"/>
  <c r="D63" i="11"/>
  <c r="D60" i="11"/>
  <c r="D24" i="11"/>
  <c r="D27" i="11"/>
  <c r="D31" i="11" s="1"/>
  <c r="D12" i="11"/>
  <c r="D6" i="11"/>
  <c r="D10" i="11"/>
  <c r="D8" i="11"/>
  <c r="D7" i="11"/>
  <c r="D15" i="11" s="1"/>
  <c r="D19" i="11" s="1"/>
  <c r="E13" i="12"/>
  <c r="H115" i="5"/>
  <c r="F115" i="5"/>
  <c r="D115" i="5"/>
  <c r="C115" i="5"/>
  <c r="C114" i="5"/>
  <c r="D114" i="5"/>
  <c r="F114" i="5"/>
  <c r="H114" i="5"/>
  <c r="A19" i="10"/>
  <c r="A20" i="10"/>
  <c r="A21" i="10"/>
  <c r="A22" i="10"/>
  <c r="A23" i="10"/>
  <c r="A24" i="10"/>
  <c r="A18" i="10"/>
  <c r="K29" i="10"/>
  <c r="K30" i="10"/>
  <c r="K31" i="10"/>
  <c r="F16" i="10"/>
  <c r="N30" i="10" s="1"/>
  <c r="G16" i="10"/>
  <c r="O30" i="10" s="1"/>
  <c r="H16" i="10"/>
  <c r="P30" i="10" s="1"/>
  <c r="E16" i="10"/>
  <c r="M30" i="10" s="1"/>
  <c r="F14" i="10"/>
  <c r="N23" i="10" s="1"/>
  <c r="G14" i="10"/>
  <c r="O23" i="10" s="1"/>
  <c r="H14" i="10"/>
  <c r="P23" i="10" s="1"/>
  <c r="E14" i="10"/>
  <c r="F13" i="10"/>
  <c r="G13" i="10"/>
  <c r="O31" i="10" s="1"/>
  <c r="H13" i="10"/>
  <c r="P17" i="10" s="1"/>
  <c r="E13" i="10"/>
  <c r="M17" i="10" s="1"/>
  <c r="F12" i="10"/>
  <c r="N15" i="10" s="1"/>
  <c r="G12" i="10"/>
  <c r="O15" i="10" s="1"/>
  <c r="H12" i="10"/>
  <c r="E12" i="10"/>
  <c r="M15" i="10" s="1"/>
  <c r="O4" i="10"/>
  <c r="O5" i="10"/>
  <c r="O6" i="10"/>
  <c r="O8" i="10"/>
  <c r="N4" i="10"/>
  <c r="N5" i="10"/>
  <c r="N6" i="10"/>
  <c r="N8" i="10"/>
  <c r="C12" i="9"/>
  <c r="D12" i="9"/>
  <c r="E12" i="9"/>
  <c r="D11" i="9"/>
  <c r="E11" i="9"/>
  <c r="C11" i="9"/>
  <c r="D23" i="1"/>
  <c r="D24" i="1"/>
  <c r="G26" i="1"/>
  <c r="E26" i="1"/>
  <c r="D26" i="1"/>
  <c r="D25" i="1"/>
  <c r="D18" i="1"/>
  <c r="G20" i="1"/>
  <c r="E20" i="1"/>
  <c r="D20" i="1"/>
  <c r="D19" i="1"/>
  <c r="G11" i="1"/>
  <c r="E11" i="1"/>
  <c r="D11" i="1"/>
  <c r="D10" i="1"/>
  <c r="D14" i="1"/>
  <c r="D6" i="1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2" i="5"/>
  <c r="L13" i="8"/>
  <c r="M13" i="8"/>
  <c r="N13" i="8"/>
  <c r="L14" i="8"/>
  <c r="M14" i="8"/>
  <c r="N14" i="8"/>
  <c r="L15" i="8"/>
  <c r="M15" i="8"/>
  <c r="N15" i="8"/>
  <c r="L16" i="8"/>
  <c r="M16" i="8"/>
  <c r="N16" i="8"/>
  <c r="K14" i="8"/>
  <c r="K15" i="8"/>
  <c r="K16" i="8"/>
  <c r="K13" i="8"/>
  <c r="H6" i="8"/>
  <c r="C21" i="8" s="1"/>
  <c r="H7" i="8"/>
  <c r="C22" i="8" s="1"/>
  <c r="H8" i="8"/>
  <c r="C23" i="8" s="1"/>
  <c r="H5" i="8"/>
  <c r="D20" i="8" s="1"/>
  <c r="J102" i="5"/>
  <c r="K102" i="5" s="1"/>
  <c r="J103" i="5"/>
  <c r="K103" i="5" s="1"/>
  <c r="J104" i="5"/>
  <c r="K104" i="5" s="1"/>
  <c r="J105" i="5"/>
  <c r="K105" i="5" s="1"/>
  <c r="J106" i="5"/>
  <c r="K106" i="5" s="1"/>
  <c r="J107" i="5"/>
  <c r="K107" i="5" s="1"/>
  <c r="J108" i="5"/>
  <c r="K108" i="5" s="1"/>
  <c r="J109" i="5"/>
  <c r="K109" i="5" s="1"/>
  <c r="K110" i="5"/>
  <c r="K111" i="5"/>
  <c r="K112" i="5"/>
  <c r="K113" i="5"/>
  <c r="H113" i="5"/>
  <c r="F113" i="5"/>
  <c r="C113" i="5"/>
  <c r="H112" i="5"/>
  <c r="F112" i="5"/>
  <c r="C112" i="5"/>
  <c r="H111" i="5"/>
  <c r="F111" i="5"/>
  <c r="C111" i="5"/>
  <c r="H110" i="5"/>
  <c r="F110" i="5"/>
  <c r="C110" i="5"/>
  <c r="H109" i="5"/>
  <c r="F109" i="5"/>
  <c r="C109" i="5"/>
  <c r="H108" i="5"/>
  <c r="F108" i="5"/>
  <c r="C108" i="5"/>
  <c r="H107" i="5"/>
  <c r="F107" i="5"/>
  <c r="C107" i="5"/>
  <c r="H106" i="5"/>
  <c r="F106" i="5"/>
  <c r="C106" i="5"/>
  <c r="H105" i="5"/>
  <c r="F105" i="5"/>
  <c r="C105" i="5"/>
  <c r="H104" i="5"/>
  <c r="F104" i="5"/>
  <c r="C104" i="5"/>
  <c r="H103" i="5"/>
  <c r="F103" i="5"/>
  <c r="C103" i="5"/>
  <c r="H102" i="5"/>
  <c r="F102" i="5"/>
  <c r="C102" i="5"/>
  <c r="K101" i="5"/>
  <c r="J96" i="5"/>
  <c r="K96" i="5" s="1"/>
  <c r="J97" i="5"/>
  <c r="K97" i="5" s="1"/>
  <c r="K98" i="5"/>
  <c r="J99" i="5"/>
  <c r="K99" i="5" s="1"/>
  <c r="J100" i="5"/>
  <c r="K100" i="5" s="1"/>
  <c r="F101" i="5"/>
  <c r="H101" i="5"/>
  <c r="F96" i="5"/>
  <c r="H96" i="5"/>
  <c r="F97" i="5"/>
  <c r="H97" i="5"/>
  <c r="F98" i="5"/>
  <c r="H98" i="5"/>
  <c r="F99" i="5"/>
  <c r="H99" i="5"/>
  <c r="F100" i="5"/>
  <c r="H100" i="5"/>
  <c r="C101" i="5"/>
  <c r="C100" i="5"/>
  <c r="C99" i="5"/>
  <c r="C98" i="5"/>
  <c r="C97" i="5"/>
  <c r="C96" i="5"/>
  <c r="K89" i="5"/>
  <c r="J90" i="5"/>
  <c r="K90" i="5" s="1"/>
  <c r="J91" i="5"/>
  <c r="K91" i="5" s="1"/>
  <c r="K92" i="5"/>
  <c r="J93" i="5"/>
  <c r="K93" i="5" s="1"/>
  <c r="J94" i="5"/>
  <c r="K94" i="5" s="1"/>
  <c r="K95" i="5"/>
  <c r="H90" i="5"/>
  <c r="H91" i="5"/>
  <c r="H92" i="5"/>
  <c r="H93" i="5"/>
  <c r="H94" i="5"/>
  <c r="H95" i="5"/>
  <c r="F89" i="5"/>
  <c r="F90" i="5"/>
  <c r="F91" i="5"/>
  <c r="F92" i="5"/>
  <c r="F93" i="5"/>
  <c r="F94" i="5"/>
  <c r="F95" i="5"/>
  <c r="C90" i="5"/>
  <c r="C91" i="5"/>
  <c r="C92" i="5"/>
  <c r="C93" i="5"/>
  <c r="C94" i="5"/>
  <c r="C95" i="5"/>
  <c r="J85" i="5"/>
  <c r="K85" i="5" s="1"/>
  <c r="J86" i="5"/>
  <c r="K86" i="5" s="1"/>
  <c r="J87" i="5"/>
  <c r="K87" i="5" s="1"/>
  <c r="J88" i="5"/>
  <c r="K88" i="5" s="1"/>
  <c r="H87" i="5"/>
  <c r="H88" i="5"/>
  <c r="H89" i="5"/>
  <c r="F87" i="5"/>
  <c r="F88" i="5"/>
  <c r="C87" i="5"/>
  <c r="C88" i="5"/>
  <c r="C89" i="5"/>
  <c r="H85" i="5"/>
  <c r="H86" i="5"/>
  <c r="F85" i="5"/>
  <c r="F86" i="5"/>
  <c r="C85" i="5"/>
  <c r="C86" i="5"/>
  <c r="J76" i="5"/>
  <c r="J77" i="5"/>
  <c r="J78" i="5"/>
  <c r="J79" i="5"/>
  <c r="J80" i="5"/>
  <c r="J81" i="5"/>
  <c r="C79" i="5"/>
  <c r="C80" i="5"/>
  <c r="C81" i="5"/>
  <c r="H84" i="5"/>
  <c r="F84" i="5"/>
  <c r="C84" i="5"/>
  <c r="H83" i="5"/>
  <c r="F83" i="5"/>
  <c r="C83" i="5"/>
  <c r="H82" i="5"/>
  <c r="F82" i="5"/>
  <c r="C82" i="5"/>
  <c r="H81" i="5"/>
  <c r="F81" i="5"/>
  <c r="H80" i="5"/>
  <c r="F80" i="5"/>
  <c r="H79" i="5"/>
  <c r="F79" i="5"/>
  <c r="H78" i="5"/>
  <c r="F78" i="5"/>
  <c r="C78" i="5"/>
  <c r="H77" i="5"/>
  <c r="F77" i="5"/>
  <c r="C77" i="5"/>
  <c r="H76" i="5"/>
  <c r="F76" i="5"/>
  <c r="C76" i="5"/>
  <c r="J67" i="5"/>
  <c r="J68" i="5"/>
  <c r="J70" i="5"/>
  <c r="J71" i="5"/>
  <c r="J73" i="5"/>
  <c r="J74" i="5"/>
  <c r="H72" i="5"/>
  <c r="H71" i="5"/>
  <c r="H70" i="5"/>
  <c r="F70" i="5"/>
  <c r="F71" i="5"/>
  <c r="F72" i="5"/>
  <c r="C72" i="5"/>
  <c r="C71" i="5"/>
  <c r="C70" i="5"/>
  <c r="H75" i="5"/>
  <c r="F75" i="5"/>
  <c r="C75" i="5"/>
  <c r="H74" i="5"/>
  <c r="F74" i="5"/>
  <c r="C74" i="5"/>
  <c r="H73" i="5"/>
  <c r="F73" i="5"/>
  <c r="C73" i="5"/>
  <c r="H67" i="5"/>
  <c r="H68" i="5"/>
  <c r="H69" i="5"/>
  <c r="F67" i="5"/>
  <c r="F68" i="5"/>
  <c r="F69" i="5"/>
  <c r="C67" i="5"/>
  <c r="C68" i="5"/>
  <c r="C69" i="5"/>
  <c r="J49" i="5"/>
  <c r="J51" i="5"/>
  <c r="J52" i="5"/>
  <c r="J54" i="5"/>
  <c r="J58" i="5"/>
  <c r="J60" i="5"/>
  <c r="J61" i="5"/>
  <c r="J63" i="5"/>
  <c r="H66" i="5"/>
  <c r="F66" i="5"/>
  <c r="C66" i="5"/>
  <c r="H65" i="5"/>
  <c r="F65" i="5"/>
  <c r="C65" i="5"/>
  <c r="H64" i="5"/>
  <c r="F64" i="5"/>
  <c r="C64" i="5"/>
  <c r="H63" i="5"/>
  <c r="F63" i="5"/>
  <c r="C63" i="5"/>
  <c r="H62" i="5"/>
  <c r="F62" i="5"/>
  <c r="C62" i="5"/>
  <c r="H61" i="5"/>
  <c r="F61" i="5"/>
  <c r="C61" i="5"/>
  <c r="H60" i="5"/>
  <c r="F60" i="5"/>
  <c r="C60" i="5"/>
  <c r="H59" i="5"/>
  <c r="F59" i="5"/>
  <c r="C59" i="5"/>
  <c r="H58" i="5"/>
  <c r="F58" i="5"/>
  <c r="C58" i="5"/>
  <c r="H57" i="5"/>
  <c r="H56" i="5"/>
  <c r="H55" i="5"/>
  <c r="H54" i="5"/>
  <c r="H53" i="5"/>
  <c r="H52" i="5"/>
  <c r="H51" i="5"/>
  <c r="H50" i="5"/>
  <c r="H49" i="5"/>
  <c r="F57" i="5"/>
  <c r="C57" i="5"/>
  <c r="F56" i="5"/>
  <c r="C56" i="5"/>
  <c r="F55" i="5"/>
  <c r="C55" i="5"/>
  <c r="F54" i="5"/>
  <c r="C54" i="5"/>
  <c r="F53" i="5"/>
  <c r="C53" i="5"/>
  <c r="F52" i="5"/>
  <c r="C52" i="5"/>
  <c r="F51" i="5"/>
  <c r="C51" i="5"/>
  <c r="F50" i="5"/>
  <c r="C50" i="5"/>
  <c r="F49" i="5"/>
  <c r="C49" i="5"/>
  <c r="J40" i="5"/>
  <c r="J42" i="5"/>
  <c r="J43" i="5"/>
  <c r="J45" i="5"/>
  <c r="H48" i="5"/>
  <c r="F48" i="5"/>
  <c r="C48" i="5"/>
  <c r="H47" i="5"/>
  <c r="F47" i="5"/>
  <c r="C47" i="5"/>
  <c r="H46" i="5"/>
  <c r="F46" i="5"/>
  <c r="C46" i="5"/>
  <c r="H45" i="5"/>
  <c r="F45" i="5"/>
  <c r="C45" i="5"/>
  <c r="H44" i="5"/>
  <c r="F44" i="5"/>
  <c r="C44" i="5"/>
  <c r="H43" i="5"/>
  <c r="F43" i="5"/>
  <c r="C43" i="5"/>
  <c r="H40" i="5"/>
  <c r="H41" i="5"/>
  <c r="H42" i="5"/>
  <c r="F40" i="5"/>
  <c r="F41" i="5"/>
  <c r="F42" i="5"/>
  <c r="C31" i="5"/>
  <c r="C32" i="5"/>
  <c r="C33" i="5"/>
  <c r="C34" i="5"/>
  <c r="C35" i="5"/>
  <c r="C36" i="5"/>
  <c r="C37" i="5"/>
  <c r="C38" i="5"/>
  <c r="C39" i="5"/>
  <c r="C40" i="5"/>
  <c r="C41" i="5"/>
  <c r="C42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H35" i="5"/>
  <c r="H36" i="5"/>
  <c r="H37" i="5"/>
  <c r="H38" i="5"/>
  <c r="H39" i="5"/>
  <c r="H34" i="5"/>
  <c r="G10" i="12"/>
  <c r="F10" i="12"/>
  <c r="E10" i="12"/>
  <c r="F9" i="12"/>
  <c r="G9" i="12"/>
  <c r="E9" i="12"/>
  <c r="H27" i="5"/>
  <c r="H28" i="5"/>
  <c r="H29" i="5"/>
  <c r="H30" i="5"/>
  <c r="H31" i="5"/>
  <c r="H32" i="5"/>
  <c r="H33" i="5"/>
  <c r="C30" i="5"/>
  <c r="C29" i="5"/>
  <c r="C28" i="5"/>
  <c r="H16" i="5"/>
  <c r="H17" i="5"/>
  <c r="H18" i="5"/>
  <c r="H19" i="5"/>
  <c r="H20" i="5"/>
  <c r="H21" i="5"/>
  <c r="H22" i="5"/>
  <c r="H23" i="5"/>
  <c r="H24" i="5"/>
  <c r="H25" i="5"/>
  <c r="H26" i="5"/>
  <c r="F16" i="5"/>
  <c r="F17" i="5"/>
  <c r="F18" i="5"/>
  <c r="F19" i="5"/>
  <c r="F20" i="5"/>
  <c r="F21" i="5"/>
  <c r="F22" i="5"/>
  <c r="C27" i="5"/>
  <c r="C26" i="5"/>
  <c r="C25" i="5"/>
  <c r="C24" i="5"/>
  <c r="C23" i="5"/>
  <c r="C22" i="5"/>
  <c r="C21" i="5"/>
  <c r="C20" i="5"/>
  <c r="C19" i="5"/>
  <c r="C18" i="5"/>
  <c r="C17" i="5"/>
  <c r="C16" i="5"/>
  <c r="H15" i="5"/>
  <c r="F15" i="5"/>
  <c r="C15" i="5"/>
  <c r="H14" i="5"/>
  <c r="F14" i="5"/>
  <c r="C14" i="5"/>
  <c r="H13" i="5"/>
  <c r="F13" i="5"/>
  <c r="C13" i="5"/>
  <c r="H12" i="5"/>
  <c r="F12" i="5"/>
  <c r="C12" i="5"/>
  <c r="H11" i="5"/>
  <c r="F11" i="5"/>
  <c r="C11" i="5"/>
  <c r="H10" i="5"/>
  <c r="F10" i="5"/>
  <c r="C10" i="5"/>
  <c r="H7" i="5"/>
  <c r="H8" i="5"/>
  <c r="H9" i="5"/>
  <c r="F7" i="5"/>
  <c r="F8" i="5"/>
  <c r="F9" i="5"/>
  <c r="C7" i="5"/>
  <c r="C8" i="5"/>
  <c r="C9" i="5"/>
  <c r="J3" i="5"/>
  <c r="K3" i="5" s="1"/>
  <c r="J4" i="5"/>
  <c r="K4" i="5" s="1"/>
  <c r="J5" i="5"/>
  <c r="K5" i="5" s="1"/>
  <c r="J6" i="5"/>
  <c r="K6" i="5" s="1"/>
  <c r="J2" i="5"/>
  <c r="K2" i="5" s="1"/>
  <c r="M27" i="2"/>
  <c r="M26" i="2"/>
  <c r="M25" i="2"/>
  <c r="M15" i="2"/>
  <c r="M5" i="2"/>
  <c r="M3" i="2"/>
  <c r="H3" i="5"/>
  <c r="H4" i="5"/>
  <c r="H5" i="5"/>
  <c r="H6" i="5"/>
  <c r="H2" i="5"/>
  <c r="F3" i="5"/>
  <c r="F4" i="5"/>
  <c r="F5" i="5"/>
  <c r="F6" i="5"/>
  <c r="F2" i="5"/>
  <c r="C3" i="5"/>
  <c r="C4" i="5"/>
  <c r="C5" i="5"/>
  <c r="C6" i="5"/>
  <c r="C2" i="5"/>
  <c r="C13" i="9" l="1"/>
  <c r="E34" i="1" s="1"/>
  <c r="K17" i="8"/>
  <c r="P4" i="2"/>
  <c r="Q4" i="2" s="1"/>
  <c r="Q7" i="2" s="1"/>
  <c r="Q11" i="2" s="1"/>
  <c r="P11" i="2" s="1"/>
  <c r="P7" i="10"/>
  <c r="J65" i="5"/>
  <c r="J39" i="5"/>
  <c r="J15" i="5"/>
  <c r="J36" i="5"/>
  <c r="J47" i="5"/>
  <c r="Q7" i="10"/>
  <c r="J56" i="5"/>
  <c r="K10" i="12"/>
  <c r="J9" i="12"/>
  <c r="I9" i="12"/>
  <c r="I13" i="12"/>
  <c r="K9" i="12"/>
  <c r="J10" i="12"/>
  <c r="I10" i="12"/>
  <c r="E13" i="9"/>
  <c r="G34" i="1" s="1"/>
  <c r="D13" i="9"/>
  <c r="F34" i="1" s="1"/>
  <c r="M17" i="8"/>
  <c r="N17" i="8"/>
  <c r="L17" i="8"/>
  <c r="D67" i="11"/>
  <c r="D68" i="11"/>
  <c r="D79" i="11"/>
  <c r="E56" i="11"/>
  <c r="E36" i="11"/>
  <c r="G56" i="11"/>
  <c r="G36" i="11"/>
  <c r="G38" i="11" s="1"/>
  <c r="E46" i="11"/>
  <c r="F4" i="11"/>
  <c r="F12" i="11" s="1"/>
  <c r="F56" i="11"/>
  <c r="F36" i="11"/>
  <c r="D26" i="11"/>
  <c r="D30" i="11" s="1"/>
  <c r="D28" i="11"/>
  <c r="D32" i="11" s="1"/>
  <c r="D78" i="11"/>
  <c r="E4" i="11"/>
  <c r="G4" i="11"/>
  <c r="D14" i="11"/>
  <c r="D18" i="11" s="1"/>
  <c r="D16" i="11"/>
  <c r="D20" i="11" s="1"/>
  <c r="F19" i="1"/>
  <c r="E19" i="1"/>
  <c r="G10" i="1"/>
  <c r="G19" i="1"/>
  <c r="E25" i="1"/>
  <c r="F11" i="1"/>
  <c r="H11" i="1" s="1"/>
  <c r="F25" i="1"/>
  <c r="E10" i="1"/>
  <c r="F10" i="1"/>
  <c r="O17" i="10"/>
  <c r="M29" i="10"/>
  <c r="M31" i="10"/>
  <c r="N17" i="10"/>
  <c r="P29" i="10"/>
  <c r="P31" i="10"/>
  <c r="O29" i="10"/>
  <c r="O32" i="10" s="1"/>
  <c r="G11" i="10" s="1"/>
  <c r="M23" i="10"/>
  <c r="M24" i="10" s="1"/>
  <c r="E15" i="10" s="1"/>
  <c r="M16" i="10" s="1"/>
  <c r="N29" i="10"/>
  <c r="N31" i="10"/>
  <c r="P15" i="10"/>
  <c r="C13" i="8"/>
  <c r="C20" i="8"/>
  <c r="C24" i="8" s="1"/>
  <c r="D4" i="1" s="1"/>
  <c r="E15" i="8"/>
  <c r="E22" i="8"/>
  <c r="E13" i="8"/>
  <c r="D15" i="8"/>
  <c r="E20" i="8"/>
  <c r="D22" i="8"/>
  <c r="D13" i="8"/>
  <c r="C15" i="8"/>
  <c r="E16" i="8"/>
  <c r="E14" i="8"/>
  <c r="E23" i="8"/>
  <c r="E21" i="8"/>
  <c r="D16" i="8"/>
  <c r="D14" i="8"/>
  <c r="D23" i="8"/>
  <c r="D21" i="8"/>
  <c r="C16" i="8"/>
  <c r="C14" i="8"/>
  <c r="E29" i="7"/>
  <c r="L15" i="12" s="1"/>
  <c r="E27" i="7"/>
  <c r="L13" i="12" s="1"/>
  <c r="E24" i="7"/>
  <c r="E26" i="7"/>
  <c r="L12" i="12" s="1"/>
  <c r="E28" i="7"/>
  <c r="L14" i="12" s="1"/>
  <c r="E25" i="7"/>
  <c r="L11" i="12" s="1"/>
  <c r="E23" i="7"/>
  <c r="C31" i="2"/>
  <c r="K6" i="11" s="1"/>
  <c r="C30" i="2"/>
  <c r="K5" i="11" s="1"/>
  <c r="C29" i="2"/>
  <c r="K4" i="11" s="1"/>
  <c r="C18" i="2"/>
  <c r="K36" i="11" s="1"/>
  <c r="K41" i="11" s="1"/>
  <c r="P41" i="11" s="1"/>
  <c r="C9" i="2"/>
  <c r="K58" i="11" s="1"/>
  <c r="K68" i="11" s="1"/>
  <c r="P68" i="11" s="1"/>
  <c r="C8" i="2"/>
  <c r="K57" i="11" s="1"/>
  <c r="K67" i="11" s="1"/>
  <c r="P67" i="11" s="1"/>
  <c r="C7" i="2"/>
  <c r="K56" i="11" s="1"/>
  <c r="K66" i="11" s="1"/>
  <c r="P66" i="11" s="1"/>
  <c r="E2" i="2"/>
  <c r="E11" i="2"/>
  <c r="I32" i="2"/>
  <c r="G32" i="2"/>
  <c r="O7" i="11" s="1"/>
  <c r="F32" i="2"/>
  <c r="E32" i="2"/>
  <c r="E19" i="2"/>
  <c r="F19" i="2"/>
  <c r="G19" i="2"/>
  <c r="I19" i="2"/>
  <c r="D19" i="2"/>
  <c r="L15" i="2"/>
  <c r="L23" i="10" s="1"/>
  <c r="N24" i="10" s="1"/>
  <c r="F15" i="10" s="1"/>
  <c r="N16" i="10" s="1"/>
  <c r="D32" i="2"/>
  <c r="D33" i="2" s="1"/>
  <c r="L27" i="2"/>
  <c r="L31" i="10" s="1"/>
  <c r="L26" i="2"/>
  <c r="L30" i="10" s="1"/>
  <c r="L25" i="2"/>
  <c r="L29" i="10" s="1"/>
  <c r="G10" i="2"/>
  <c r="F10" i="2"/>
  <c r="E10" i="2"/>
  <c r="M59" i="11" s="1"/>
  <c r="M60" i="11" s="1"/>
  <c r="F20" i="2" l="1"/>
  <c r="N37" i="11"/>
  <c r="N38" i="11" s="1"/>
  <c r="G33" i="2"/>
  <c r="O8" i="11" s="1"/>
  <c r="D20" i="2"/>
  <c r="L37" i="11"/>
  <c r="L38" i="11" s="1"/>
  <c r="E20" i="2"/>
  <c r="M37" i="11"/>
  <c r="M38" i="11" s="1"/>
  <c r="I33" i="2"/>
  <c r="Q8" i="11" s="1"/>
  <c r="Q7" i="11"/>
  <c r="G11" i="2"/>
  <c r="O59" i="11"/>
  <c r="O60" i="11" s="1"/>
  <c r="G20" i="2"/>
  <c r="O37" i="11"/>
  <c r="O38" i="11" s="1"/>
  <c r="F33" i="2"/>
  <c r="N8" i="11" s="1"/>
  <c r="N7" i="11"/>
  <c r="F11" i="2"/>
  <c r="N59" i="11"/>
  <c r="N60" i="11" s="1"/>
  <c r="I20" i="2"/>
  <c r="Q37" i="11"/>
  <c r="Q38" i="11" s="1"/>
  <c r="E33" i="2"/>
  <c r="M8" i="11" s="1"/>
  <c r="M7" i="11"/>
  <c r="O24" i="10"/>
  <c r="G15" i="10" s="1"/>
  <c r="O16" i="10" s="1"/>
  <c r="M18" i="10"/>
  <c r="E10" i="10" s="1"/>
  <c r="P24" i="10"/>
  <c r="H15" i="10" s="1"/>
  <c r="P16" i="10" s="1"/>
  <c r="P7" i="2"/>
  <c r="F3" i="3" s="1"/>
  <c r="E4" i="13"/>
  <c r="L10" i="12"/>
  <c r="L9" i="12"/>
  <c r="E3" i="13"/>
  <c r="H34" i="1"/>
  <c r="G8" i="11"/>
  <c r="G6" i="11"/>
  <c r="G7" i="11"/>
  <c r="G60" i="11"/>
  <c r="G58" i="11"/>
  <c r="G59" i="11"/>
  <c r="N68" i="11"/>
  <c r="O68" i="11"/>
  <c r="M68" i="11"/>
  <c r="D84" i="11" s="1"/>
  <c r="M41" i="11"/>
  <c r="D44" i="11" s="1"/>
  <c r="N41" i="11"/>
  <c r="O41" i="11"/>
  <c r="M66" i="11"/>
  <c r="N66" i="11"/>
  <c r="O66" i="11"/>
  <c r="F10" i="11"/>
  <c r="F6" i="11"/>
  <c r="F11" i="11"/>
  <c r="F8" i="11"/>
  <c r="F16" i="11" s="1"/>
  <c r="F20" i="11" s="1"/>
  <c r="F7" i="11"/>
  <c r="G63" i="11"/>
  <c r="G62" i="11"/>
  <c r="G64" i="11"/>
  <c r="E38" i="11"/>
  <c r="E40" i="11"/>
  <c r="E59" i="11"/>
  <c r="E58" i="11"/>
  <c r="E60" i="11"/>
  <c r="E63" i="11"/>
  <c r="E62" i="11"/>
  <c r="E64" i="11"/>
  <c r="F40" i="11"/>
  <c r="F38" i="11"/>
  <c r="F58" i="11"/>
  <c r="F62" i="11"/>
  <c r="F63" i="11"/>
  <c r="F64" i="11"/>
  <c r="F60" i="11"/>
  <c r="F59" i="11"/>
  <c r="G40" i="11"/>
  <c r="G12" i="11"/>
  <c r="G10" i="11"/>
  <c r="G11" i="11"/>
  <c r="E6" i="11"/>
  <c r="E8" i="11"/>
  <c r="E12" i="11"/>
  <c r="E10" i="11"/>
  <c r="E11" i="11"/>
  <c r="E7" i="11"/>
  <c r="H19" i="1"/>
  <c r="H10" i="1"/>
  <c r="P32" i="10"/>
  <c r="H11" i="10" s="1"/>
  <c r="M32" i="10"/>
  <c r="E11" i="10" s="1"/>
  <c r="N32" i="10"/>
  <c r="F11" i="10" s="1"/>
  <c r="F2" i="7"/>
  <c r="F23" i="7" s="1"/>
  <c r="E2" i="10"/>
  <c r="F6" i="7"/>
  <c r="E6" i="10"/>
  <c r="E22" i="10" s="1"/>
  <c r="F5" i="7"/>
  <c r="E5" i="10"/>
  <c r="E21" i="10" s="1"/>
  <c r="F3" i="7"/>
  <c r="F24" i="7" s="1"/>
  <c r="E3" i="10"/>
  <c r="F8" i="7"/>
  <c r="E8" i="10"/>
  <c r="E24" i="10" s="1"/>
  <c r="F4" i="7"/>
  <c r="E4" i="10"/>
  <c r="E20" i="10" s="1"/>
  <c r="F7" i="7"/>
  <c r="E7" i="10"/>
  <c r="D24" i="8"/>
  <c r="E4" i="1" s="1"/>
  <c r="E17" i="8"/>
  <c r="C17" i="8"/>
  <c r="F24" i="8"/>
  <c r="G4" i="1" s="1"/>
  <c r="D17" i="8"/>
  <c r="F17" i="8"/>
  <c r="E24" i="8"/>
  <c r="F4" i="1" s="1"/>
  <c r="N25" i="2"/>
  <c r="N26" i="2"/>
  <c r="N27" i="2"/>
  <c r="N15" i="2"/>
  <c r="N17" i="2" s="1"/>
  <c r="M17" i="2" s="1"/>
  <c r="E8" i="3" s="1"/>
  <c r="Q24" i="12" s="1"/>
  <c r="L24" i="12" s="1"/>
  <c r="L4" i="2"/>
  <c r="L16" i="10" s="1"/>
  <c r="L5" i="2"/>
  <c r="L17" i="10" s="1"/>
  <c r="L3" i="2"/>
  <c r="L15" i="10" s="1"/>
  <c r="N18" i="10" s="1"/>
  <c r="F10" i="10" s="1"/>
  <c r="D10" i="2"/>
  <c r="D11" i="2" l="1"/>
  <c r="L59" i="11"/>
  <c r="L60" i="11" s="1"/>
  <c r="P18" i="10"/>
  <c r="H10" i="10" s="1"/>
  <c r="O18" i="10"/>
  <c r="G10" i="10" s="1"/>
  <c r="H7" i="13"/>
  <c r="H9" i="13" s="1"/>
  <c r="J26" i="5"/>
  <c r="Q2" i="10"/>
  <c r="P2" i="10"/>
  <c r="J13" i="5"/>
  <c r="J20" i="5"/>
  <c r="J32" i="5"/>
  <c r="M9" i="12"/>
  <c r="F3" i="13"/>
  <c r="M10" i="12"/>
  <c r="F4" i="13"/>
  <c r="K84" i="5"/>
  <c r="G24" i="11"/>
  <c r="G28" i="11" s="1"/>
  <c r="G32" i="11" s="1"/>
  <c r="K81" i="5"/>
  <c r="F24" i="11"/>
  <c r="F28" i="11" s="1"/>
  <c r="F32" i="11" s="1"/>
  <c r="O67" i="11"/>
  <c r="F93" i="11" s="1"/>
  <c r="D106" i="11"/>
  <c r="D7" i="1" s="1"/>
  <c r="D52" i="11"/>
  <c r="D70" i="11"/>
  <c r="M67" i="11"/>
  <c r="D89" i="11" s="1"/>
  <c r="D90" i="11" s="1"/>
  <c r="G15" i="12"/>
  <c r="G23" i="11"/>
  <c r="G27" i="11" s="1"/>
  <c r="G31" i="11" s="1"/>
  <c r="N67" i="11"/>
  <c r="E107" i="11" s="1"/>
  <c r="E15" i="1" s="1"/>
  <c r="F13" i="12"/>
  <c r="F46" i="11"/>
  <c r="F50" i="11" s="1"/>
  <c r="F52" i="11" s="1"/>
  <c r="G13" i="12"/>
  <c r="G46" i="11"/>
  <c r="G50" i="11" s="1"/>
  <c r="G52" i="11" s="1"/>
  <c r="F15" i="12"/>
  <c r="F23" i="11"/>
  <c r="F27" i="11" s="1"/>
  <c r="F31" i="11" s="1"/>
  <c r="K79" i="5"/>
  <c r="F22" i="11"/>
  <c r="F26" i="11" s="1"/>
  <c r="F30" i="11" s="1"/>
  <c r="K82" i="5"/>
  <c r="G22" i="11"/>
  <c r="G26" i="11" s="1"/>
  <c r="G30" i="11" s="1"/>
  <c r="J114" i="5"/>
  <c r="K114" i="5" s="1"/>
  <c r="F20" i="1" s="1"/>
  <c r="H20" i="1" s="1"/>
  <c r="O7" i="10"/>
  <c r="N7" i="10"/>
  <c r="E23" i="10" s="1"/>
  <c r="E31" i="10" s="1"/>
  <c r="D72" i="11"/>
  <c r="E23" i="11"/>
  <c r="E27" i="11" s="1"/>
  <c r="E31" i="11" s="1"/>
  <c r="K78" i="5"/>
  <c r="E24" i="11"/>
  <c r="E28" i="11" s="1"/>
  <c r="E32" i="11" s="1"/>
  <c r="K76" i="5"/>
  <c r="E22" i="11"/>
  <c r="E26" i="11" s="1"/>
  <c r="E30" i="11" s="1"/>
  <c r="D82" i="11"/>
  <c r="F14" i="11"/>
  <c r="F18" i="11" s="1"/>
  <c r="F15" i="11"/>
  <c r="F19" i="11" s="1"/>
  <c r="F42" i="11"/>
  <c r="F44" i="11" s="1"/>
  <c r="G16" i="11"/>
  <c r="G20" i="11" s="1"/>
  <c r="F66" i="11"/>
  <c r="F70" i="11" s="1"/>
  <c r="F106" i="11"/>
  <c r="F7" i="1" s="1"/>
  <c r="E66" i="11"/>
  <c r="E70" i="11" s="1"/>
  <c r="E67" i="11"/>
  <c r="E71" i="11" s="1"/>
  <c r="E101" i="11" s="1"/>
  <c r="E17" i="1" s="1"/>
  <c r="F67" i="11"/>
  <c r="G66" i="11"/>
  <c r="G70" i="11" s="1"/>
  <c r="E26" i="10"/>
  <c r="E29" i="10" s="1"/>
  <c r="D12" i="1" s="1"/>
  <c r="E106" i="11"/>
  <c r="E7" i="1" s="1"/>
  <c r="G67" i="11"/>
  <c r="G71" i="11" s="1"/>
  <c r="G101" i="11" s="1"/>
  <c r="G17" i="1" s="1"/>
  <c r="G107" i="11"/>
  <c r="E68" i="11"/>
  <c r="E72" i="11" s="1"/>
  <c r="G68" i="11"/>
  <c r="G72" i="11" s="1"/>
  <c r="F68" i="11"/>
  <c r="F72" i="11" s="1"/>
  <c r="G92" i="11"/>
  <c r="G106" i="11"/>
  <c r="G7" i="1" s="1"/>
  <c r="G42" i="11"/>
  <c r="G44" i="11" s="1"/>
  <c r="E42" i="11"/>
  <c r="E44" i="11" s="1"/>
  <c r="E50" i="11"/>
  <c r="E52" i="11" s="1"/>
  <c r="E92" i="11"/>
  <c r="E93" i="11"/>
  <c r="G93" i="11"/>
  <c r="G15" i="11"/>
  <c r="G19" i="11" s="1"/>
  <c r="E15" i="11"/>
  <c r="E19" i="11" s="1"/>
  <c r="E14" i="11"/>
  <c r="E18" i="11" s="1"/>
  <c r="G14" i="11"/>
  <c r="G18" i="11" s="1"/>
  <c r="E16" i="11"/>
  <c r="E20" i="11" s="1"/>
  <c r="H4" i="1"/>
  <c r="G3" i="1"/>
  <c r="G5" i="1"/>
  <c r="E5" i="1"/>
  <c r="E3" i="1"/>
  <c r="D3" i="1"/>
  <c r="D5" i="1"/>
  <c r="F3" i="1"/>
  <c r="F5" i="1"/>
  <c r="G3" i="7"/>
  <c r="G24" i="7" s="1"/>
  <c r="F3" i="10"/>
  <c r="G2" i="7"/>
  <c r="G23" i="7" s="1"/>
  <c r="F2" i="10"/>
  <c r="N21" i="2"/>
  <c r="M21" i="2" s="1"/>
  <c r="K74" i="5"/>
  <c r="F27" i="7"/>
  <c r="M13" i="12" s="1"/>
  <c r="K73" i="5"/>
  <c r="K75" i="5"/>
  <c r="K80" i="5"/>
  <c r="N3" i="2"/>
  <c r="N5" i="2"/>
  <c r="K77" i="5"/>
  <c r="N29" i="2"/>
  <c r="M4" i="2"/>
  <c r="N4" i="2" s="1"/>
  <c r="K39" i="5"/>
  <c r="J38" i="5"/>
  <c r="K38" i="5" s="1"/>
  <c r="K15" i="5"/>
  <c r="G18" i="1" s="1"/>
  <c r="J50" i="5"/>
  <c r="J41" i="5"/>
  <c r="J59" i="5"/>
  <c r="J34" i="5"/>
  <c r="K34" i="5" s="1"/>
  <c r="J9" i="5"/>
  <c r="K9" i="5" s="1"/>
  <c r="E18" i="1" s="1"/>
  <c r="J35" i="5"/>
  <c r="K35" i="5" s="1"/>
  <c r="J53" i="5"/>
  <c r="J44" i="5"/>
  <c r="K36" i="5"/>
  <c r="J62" i="5"/>
  <c r="J37" i="5"/>
  <c r="K37" i="5" s="1"/>
  <c r="J12" i="5"/>
  <c r="K12" i="5" s="1"/>
  <c r="F18" i="1" s="1"/>
  <c r="K83" i="5"/>
  <c r="K15" i="12" l="1"/>
  <c r="K13" i="12"/>
  <c r="J13" i="12"/>
  <c r="F29" i="7"/>
  <c r="M15" i="12" s="1"/>
  <c r="E15" i="12"/>
  <c r="I20" i="12"/>
  <c r="E20" i="12"/>
  <c r="G3" i="13"/>
  <c r="N9" i="12"/>
  <c r="E23" i="12"/>
  <c r="I23" i="12"/>
  <c r="M23" i="12" s="1"/>
  <c r="E33" i="12" s="1"/>
  <c r="G4" i="13"/>
  <c r="N10" i="12"/>
  <c r="I19" i="12"/>
  <c r="E19" i="12"/>
  <c r="F71" i="11"/>
  <c r="F101" i="11" s="1"/>
  <c r="F17" i="1" s="1"/>
  <c r="F92" i="11"/>
  <c r="F96" i="11" s="1"/>
  <c r="F107" i="11"/>
  <c r="F15" i="1" s="1"/>
  <c r="D93" i="11"/>
  <c r="D92" i="11"/>
  <c r="D94" i="11"/>
  <c r="E34" i="10"/>
  <c r="D21" i="1" s="1"/>
  <c r="F33" i="10"/>
  <c r="E76" i="11"/>
  <c r="E80" i="11" s="1"/>
  <c r="E84" i="11" s="1"/>
  <c r="G14" i="12"/>
  <c r="G75" i="11"/>
  <c r="G79" i="11" s="1"/>
  <c r="G83" i="11" s="1"/>
  <c r="G104" i="11" s="1"/>
  <c r="G16" i="1" s="1"/>
  <c r="G11" i="12"/>
  <c r="G74" i="11"/>
  <c r="G78" i="11" s="1"/>
  <c r="G82" i="11" s="1"/>
  <c r="F14" i="12"/>
  <c r="F75" i="11"/>
  <c r="F79" i="11" s="1"/>
  <c r="F83" i="11" s="1"/>
  <c r="F104" i="11" s="1"/>
  <c r="F16" i="1" s="1"/>
  <c r="D100" i="11"/>
  <c r="F12" i="12"/>
  <c r="F76" i="11"/>
  <c r="F80" i="11" s="1"/>
  <c r="F84" i="11" s="1"/>
  <c r="E74" i="11"/>
  <c r="E78" i="11" s="1"/>
  <c r="E82" i="11" s="1"/>
  <c r="F11" i="12"/>
  <c r="K11" i="12" s="1"/>
  <c r="F74" i="11"/>
  <c r="F78" i="11" s="1"/>
  <c r="F82" i="11" s="1"/>
  <c r="D103" i="11"/>
  <c r="G12" i="12"/>
  <c r="G76" i="11"/>
  <c r="G80" i="11" s="1"/>
  <c r="G84" i="11" s="1"/>
  <c r="D107" i="11"/>
  <c r="D83" i="11"/>
  <c r="D104" i="11" s="1"/>
  <c r="D16" i="1" s="1"/>
  <c r="D71" i="11"/>
  <c r="D101" i="11" s="1"/>
  <c r="D17" i="1" s="1"/>
  <c r="F28" i="10"/>
  <c r="F100" i="11"/>
  <c r="F9" i="1" s="1"/>
  <c r="E108" i="11"/>
  <c r="E100" i="11"/>
  <c r="E9" i="1" s="1"/>
  <c r="G15" i="1"/>
  <c r="G108" i="11"/>
  <c r="G96" i="11"/>
  <c r="E96" i="11"/>
  <c r="G100" i="11"/>
  <c r="H18" i="1"/>
  <c r="H5" i="1"/>
  <c r="H3" i="1"/>
  <c r="H3" i="7"/>
  <c r="H24" i="7" s="1"/>
  <c r="G3" i="10"/>
  <c r="G6" i="7"/>
  <c r="G27" i="7" s="1"/>
  <c r="N13" i="12" s="1"/>
  <c r="F6" i="10"/>
  <c r="F22" i="10" s="1"/>
  <c r="H2" i="7"/>
  <c r="H23" i="7" s="1"/>
  <c r="G2" i="10"/>
  <c r="N7" i="2"/>
  <c r="M7" i="2" s="1"/>
  <c r="E3" i="3" s="1"/>
  <c r="K48" i="5"/>
  <c r="K45" i="5"/>
  <c r="K42" i="5"/>
  <c r="K69" i="5"/>
  <c r="K72" i="5"/>
  <c r="K70" i="5"/>
  <c r="K67" i="5"/>
  <c r="K71" i="5"/>
  <c r="K68" i="5"/>
  <c r="K46" i="5"/>
  <c r="M29" i="2"/>
  <c r="E4" i="3" s="1"/>
  <c r="N33" i="2"/>
  <c r="M33" i="2" s="1"/>
  <c r="K40" i="5"/>
  <c r="K47" i="5"/>
  <c r="G14" i="1" s="1"/>
  <c r="K43" i="5"/>
  <c r="K44" i="5"/>
  <c r="F14" i="1" s="1"/>
  <c r="F8" i="10" l="1"/>
  <c r="F24" i="10" s="1"/>
  <c r="J23" i="12"/>
  <c r="N23" i="12" s="1"/>
  <c r="F33" i="12" s="1"/>
  <c r="G8" i="7"/>
  <c r="G29" i="7" s="1"/>
  <c r="N15" i="12" s="1"/>
  <c r="K14" i="12"/>
  <c r="G8" i="13"/>
  <c r="G10" i="13" s="1"/>
  <c r="F8" i="13"/>
  <c r="F10" i="13" s="1"/>
  <c r="F13" i="13" s="1"/>
  <c r="Q20" i="12"/>
  <c r="L20" i="12" s="1"/>
  <c r="G7" i="13"/>
  <c r="G9" i="13" s="1"/>
  <c r="F7" i="13"/>
  <c r="F9" i="13" s="1"/>
  <c r="F12" i="13" s="1"/>
  <c r="Q19" i="12"/>
  <c r="L19" i="12" s="1"/>
  <c r="F26" i="7"/>
  <c r="M12" i="12" s="1"/>
  <c r="E12" i="12"/>
  <c r="H2" i="10"/>
  <c r="H3" i="13"/>
  <c r="O9" i="12"/>
  <c r="J20" i="12"/>
  <c r="F20" i="12"/>
  <c r="J15" i="12"/>
  <c r="I15" i="12"/>
  <c r="I25" i="12" s="1"/>
  <c r="M25" i="12" s="1"/>
  <c r="E35" i="12" s="1"/>
  <c r="F25" i="7"/>
  <c r="M11" i="12" s="1"/>
  <c r="E11" i="12"/>
  <c r="F23" i="12"/>
  <c r="H3" i="10"/>
  <c r="H19" i="10" s="1"/>
  <c r="H4" i="13"/>
  <c r="H10" i="13" s="1"/>
  <c r="O10" i="12"/>
  <c r="K12" i="12"/>
  <c r="J19" i="12"/>
  <c r="F19" i="12"/>
  <c r="F108" i="11"/>
  <c r="D97" i="11"/>
  <c r="D105" i="11" s="1"/>
  <c r="E103" i="11"/>
  <c r="E8" i="1" s="1"/>
  <c r="F103" i="11"/>
  <c r="F8" i="1" s="1"/>
  <c r="G103" i="11"/>
  <c r="G8" i="1" s="1"/>
  <c r="D96" i="11"/>
  <c r="D102" i="11" s="1"/>
  <c r="N11" i="2"/>
  <c r="M11" i="2" s="1"/>
  <c r="F94" i="11"/>
  <c r="F97" i="11" s="1"/>
  <c r="F98" i="11" s="1"/>
  <c r="G94" i="11"/>
  <c r="G97" i="11" s="1"/>
  <c r="G98" i="11" s="1"/>
  <c r="D15" i="1"/>
  <c r="D108" i="11"/>
  <c r="J115" i="5"/>
  <c r="K115" i="5" s="1"/>
  <c r="F26" i="1" s="1"/>
  <c r="H26" i="1" s="1"/>
  <c r="H18" i="10"/>
  <c r="O2" i="10"/>
  <c r="F18" i="10" s="1"/>
  <c r="G18" i="10"/>
  <c r="N2" i="10"/>
  <c r="E18" i="10" s="1"/>
  <c r="G89" i="11"/>
  <c r="F89" i="11"/>
  <c r="E75" i="11"/>
  <c r="E79" i="11" s="1"/>
  <c r="E83" i="11" s="1"/>
  <c r="E104" i="11" s="1"/>
  <c r="E16" i="1" s="1"/>
  <c r="K116" i="5"/>
  <c r="G25" i="1" s="1"/>
  <c r="H25" i="1" s="1"/>
  <c r="N3" i="10"/>
  <c r="E19" i="10" s="1"/>
  <c r="O3" i="10"/>
  <c r="F19" i="10" s="1"/>
  <c r="G19" i="10"/>
  <c r="D8" i="1"/>
  <c r="D9" i="1"/>
  <c r="F102" i="11"/>
  <c r="E102" i="11"/>
  <c r="G102" i="11"/>
  <c r="G9" i="1"/>
  <c r="F88" i="11"/>
  <c r="G6" i="1"/>
  <c r="G88" i="11"/>
  <c r="F6" i="1"/>
  <c r="E6" i="1"/>
  <c r="H6" i="7"/>
  <c r="H27" i="7" s="1"/>
  <c r="O13" i="12" s="1"/>
  <c r="G23" i="12" s="1"/>
  <c r="G6" i="10"/>
  <c r="G22" i="10" s="1"/>
  <c r="K63" i="5"/>
  <c r="K54" i="5"/>
  <c r="K61" i="5"/>
  <c r="K52" i="5"/>
  <c r="K27" i="5"/>
  <c r="K14" i="5"/>
  <c r="J23" i="5"/>
  <c r="K23" i="5" s="1"/>
  <c r="J17" i="5"/>
  <c r="K17" i="5" s="1"/>
  <c r="J25" i="5"/>
  <c r="K25" i="5" s="1"/>
  <c r="J29" i="5"/>
  <c r="K29" i="5" s="1"/>
  <c r="J8" i="5"/>
  <c r="K8" i="5" s="1"/>
  <c r="J19" i="5"/>
  <c r="K19" i="5" s="1"/>
  <c r="J31" i="5"/>
  <c r="K31" i="5" s="1"/>
  <c r="K21" i="5"/>
  <c r="J11" i="5"/>
  <c r="K11" i="5" s="1"/>
  <c r="K33" i="5"/>
  <c r="J16" i="5"/>
  <c r="K16" i="5" s="1"/>
  <c r="J24" i="5"/>
  <c r="K24" i="5" s="1"/>
  <c r="K13" i="5"/>
  <c r="J28" i="5"/>
  <c r="K28" i="5" s="1"/>
  <c r="J7" i="5"/>
  <c r="K7" i="5" s="1"/>
  <c r="J18" i="5"/>
  <c r="K18" i="5" s="1"/>
  <c r="K26" i="5"/>
  <c r="J30" i="5"/>
  <c r="K30" i="5" s="1"/>
  <c r="K20" i="5"/>
  <c r="J10" i="5"/>
  <c r="K10" i="5" s="1"/>
  <c r="K32" i="5"/>
  <c r="J22" i="5"/>
  <c r="K22" i="5" s="1"/>
  <c r="K41" i="5"/>
  <c r="E14" i="1" s="1"/>
  <c r="H14" i="1" s="1"/>
  <c r="K64" i="5"/>
  <c r="K55" i="5"/>
  <c r="K62" i="5"/>
  <c r="K53" i="5"/>
  <c r="K65" i="5"/>
  <c r="K56" i="5"/>
  <c r="K58" i="5"/>
  <c r="K49" i="5"/>
  <c r="K60" i="5"/>
  <c r="K51" i="5"/>
  <c r="K66" i="5"/>
  <c r="K57" i="5"/>
  <c r="N19" i="12" l="1"/>
  <c r="M20" i="12"/>
  <c r="E30" i="12" s="1"/>
  <c r="J25" i="12"/>
  <c r="N25" i="12" s="1"/>
  <c r="F35" i="12" s="1"/>
  <c r="H8" i="7"/>
  <c r="H29" i="7" s="1"/>
  <c r="O15" i="12" s="1"/>
  <c r="G25" i="12" s="1"/>
  <c r="G8" i="10"/>
  <c r="G24" i="10" s="1"/>
  <c r="F4" i="10"/>
  <c r="F20" i="10" s="1"/>
  <c r="G4" i="7"/>
  <c r="G25" i="7" s="1"/>
  <c r="N11" i="12" s="1"/>
  <c r="G5" i="7"/>
  <c r="G26" i="7" s="1"/>
  <c r="N12" i="12" s="1"/>
  <c r="F14" i="13"/>
  <c r="E30" i="1" s="1"/>
  <c r="F5" i="10"/>
  <c r="F21" i="10" s="1"/>
  <c r="G13" i="13"/>
  <c r="H13" i="13"/>
  <c r="N20" i="12"/>
  <c r="G12" i="13"/>
  <c r="H12" i="13"/>
  <c r="L26" i="12"/>
  <c r="M19" i="12"/>
  <c r="E29" i="12" s="1"/>
  <c r="J11" i="12"/>
  <c r="I11" i="12"/>
  <c r="I21" i="12" s="1"/>
  <c r="M21" i="12" s="1"/>
  <c r="K20" i="12"/>
  <c r="O20" i="12" s="1"/>
  <c r="G20" i="12"/>
  <c r="G19" i="12"/>
  <c r="K19" i="12"/>
  <c r="O19" i="12" s="1"/>
  <c r="F28" i="7"/>
  <c r="M14" i="12" s="1"/>
  <c r="E14" i="12"/>
  <c r="J12" i="12"/>
  <c r="I12" i="12"/>
  <c r="I22" i="12" s="1"/>
  <c r="M22" i="12" s="1"/>
  <c r="E32" i="12" s="1"/>
  <c r="K23" i="12"/>
  <c r="O23" i="12" s="1"/>
  <c r="G33" i="12" s="1"/>
  <c r="E25" i="12"/>
  <c r="F25" i="12"/>
  <c r="G37" i="10"/>
  <c r="F105" i="11"/>
  <c r="D98" i="11"/>
  <c r="G90" i="11"/>
  <c r="G105" i="11"/>
  <c r="G36" i="10"/>
  <c r="H38" i="10" s="1"/>
  <c r="F36" i="10"/>
  <c r="G38" i="10" s="1"/>
  <c r="F90" i="11"/>
  <c r="H36" i="10"/>
  <c r="E89" i="11"/>
  <c r="E36" i="10"/>
  <c r="E94" i="11"/>
  <c r="E97" i="11" s="1"/>
  <c r="E98" i="11" s="1"/>
  <c r="G23" i="1"/>
  <c r="F24" i="1"/>
  <c r="E88" i="11"/>
  <c r="E24" i="1"/>
  <c r="H6" i="1"/>
  <c r="G24" i="1"/>
  <c r="F23" i="1"/>
  <c r="E23" i="1"/>
  <c r="H6" i="10"/>
  <c r="H22" i="10" s="1"/>
  <c r="K59" i="5"/>
  <c r="K50" i="5"/>
  <c r="K25" i="12" l="1"/>
  <c r="O25" i="12" s="1"/>
  <c r="G35" i="12" s="1"/>
  <c r="F30" i="12"/>
  <c r="G14" i="13"/>
  <c r="F30" i="1" s="1"/>
  <c r="F7" i="10"/>
  <c r="F23" i="10" s="1"/>
  <c r="F31" i="10" s="1"/>
  <c r="F34" i="10" s="1"/>
  <c r="E21" i="1" s="1"/>
  <c r="F26" i="10"/>
  <c r="G28" i="10" s="1"/>
  <c r="H4" i="7"/>
  <c r="H25" i="7" s="1"/>
  <c r="O11" i="12" s="1"/>
  <c r="K21" i="12" s="1"/>
  <c r="O21" i="12" s="1"/>
  <c r="G7" i="7"/>
  <c r="G28" i="7" s="1"/>
  <c r="N14" i="12" s="1"/>
  <c r="H8" i="10"/>
  <c r="H24" i="10" s="1"/>
  <c r="J21" i="12"/>
  <c r="N21" i="12" s="1"/>
  <c r="J22" i="12"/>
  <c r="N22" i="12" s="1"/>
  <c r="F32" i="12" s="1"/>
  <c r="F21" i="12"/>
  <c r="H5" i="7"/>
  <c r="H26" i="7" s="1"/>
  <c r="O12" i="12" s="1"/>
  <c r="G22" i="12" s="1"/>
  <c r="G5" i="10"/>
  <c r="G21" i="10" s="1"/>
  <c r="G4" i="10"/>
  <c r="G20" i="10" s="1"/>
  <c r="G30" i="12"/>
  <c r="E22" i="12"/>
  <c r="F31" i="12"/>
  <c r="E21" i="12"/>
  <c r="F29" i="12"/>
  <c r="H14" i="13"/>
  <c r="G30" i="1" s="1"/>
  <c r="J14" i="12"/>
  <c r="I14" i="12"/>
  <c r="E24" i="12" s="1"/>
  <c r="G29" i="12"/>
  <c r="F22" i="12"/>
  <c r="E31" i="12"/>
  <c r="G39" i="10"/>
  <c r="F27" i="1" s="1"/>
  <c r="E90" i="11"/>
  <c r="H39" i="10"/>
  <c r="G27" i="1" s="1"/>
  <c r="E105" i="11"/>
  <c r="F38" i="10"/>
  <c r="F39" i="10" s="1"/>
  <c r="E27" i="1" s="1"/>
  <c r="E39" i="10"/>
  <c r="D27" i="1" s="1"/>
  <c r="D32" i="1" s="1"/>
  <c r="H24" i="1"/>
  <c r="H23" i="1"/>
  <c r="H7" i="7"/>
  <c r="H28" i="7" s="1"/>
  <c r="F29" i="10" l="1"/>
  <c r="E12" i="1" s="1"/>
  <c r="H30" i="1"/>
  <c r="J24" i="12"/>
  <c r="N24" i="12" s="1"/>
  <c r="H4" i="10"/>
  <c r="H20" i="10" s="1"/>
  <c r="G21" i="12"/>
  <c r="G33" i="10"/>
  <c r="G7" i="10"/>
  <c r="G23" i="10" s="1"/>
  <c r="G31" i="10" s="1"/>
  <c r="G26" i="10"/>
  <c r="H28" i="10" s="1"/>
  <c r="G31" i="12"/>
  <c r="G27" i="10"/>
  <c r="H5" i="10"/>
  <c r="H21" i="10" s="1"/>
  <c r="K22" i="12"/>
  <c r="O22" i="12" s="1"/>
  <c r="G32" i="12" s="1"/>
  <c r="I24" i="12"/>
  <c r="M24" i="12" s="1"/>
  <c r="E34" i="12" s="1"/>
  <c r="E36" i="12" s="1"/>
  <c r="E29" i="1" s="1"/>
  <c r="E32" i="1" s="1"/>
  <c r="F24" i="12"/>
  <c r="H7" i="10"/>
  <c r="H23" i="10" s="1"/>
  <c r="H31" i="10" s="1"/>
  <c r="O14" i="12"/>
  <c r="N26" i="12"/>
  <c r="H27" i="1"/>
  <c r="H26" i="10" l="1"/>
  <c r="H29" i="10" s="1"/>
  <c r="G12" i="1" s="1"/>
  <c r="G32" i="10"/>
  <c r="G29" i="10"/>
  <c r="F12" i="1" s="1"/>
  <c r="G34" i="10"/>
  <c r="F21" i="1" s="1"/>
  <c r="M26" i="12"/>
  <c r="F34" i="12"/>
  <c r="F36" i="12" s="1"/>
  <c r="F29" i="1" s="1"/>
  <c r="K24" i="12"/>
  <c r="O24" i="12" s="1"/>
  <c r="G24" i="12"/>
  <c r="H33" i="10"/>
  <c r="H34" i="10" s="1"/>
  <c r="G21" i="1" s="1"/>
  <c r="E36" i="1"/>
  <c r="H21" i="1" l="1"/>
  <c r="F32" i="1"/>
  <c r="F36" i="1" s="1"/>
  <c r="G34" i="12"/>
  <c r="G36" i="12" s="1"/>
  <c r="G29" i="1" s="1"/>
  <c r="H29" i="1" s="1"/>
  <c r="O26" i="12"/>
  <c r="H12" i="1"/>
  <c r="G32" i="1" l="1"/>
  <c r="H32" i="1" s="1"/>
  <c r="I32" i="1" s="1"/>
  <c r="G36" i="1" l="1"/>
  <c r="H36" i="1"/>
</calcChain>
</file>

<file path=xl/sharedStrings.xml><?xml version="1.0" encoding="utf-8"?>
<sst xmlns="http://schemas.openxmlformats.org/spreadsheetml/2006/main" count="1131" uniqueCount="188">
  <si>
    <t>PPV</t>
  </si>
  <si>
    <t>Overusage variance</t>
  </si>
  <si>
    <t>Formulation variance</t>
  </si>
  <si>
    <t>RM</t>
  </si>
  <si>
    <t>SFG</t>
  </si>
  <si>
    <t>FG</t>
  </si>
  <si>
    <t>Product</t>
  </si>
  <si>
    <t>Recipe type</t>
  </si>
  <si>
    <t>Std</t>
  </si>
  <si>
    <t>Oct act</t>
  </si>
  <si>
    <t>Nov act</t>
  </si>
  <si>
    <t>Dec act</t>
  </si>
  <si>
    <t>Chocolate mass</t>
  </si>
  <si>
    <t>Recipe per</t>
  </si>
  <si>
    <t>Fried Peanut</t>
  </si>
  <si>
    <t>Mat type</t>
  </si>
  <si>
    <t>kg</t>
  </si>
  <si>
    <t>Std cost breakdown</t>
  </si>
  <si>
    <t>Std cost/kg</t>
  </si>
  <si>
    <t>Variable conv cost</t>
  </si>
  <si>
    <t>Direct labor</t>
  </si>
  <si>
    <t>Energy</t>
  </si>
  <si>
    <t>Fixed MFG ОHs</t>
  </si>
  <si>
    <t>MFG Fixed</t>
  </si>
  <si>
    <t>Standard cost</t>
  </si>
  <si>
    <t>kg / 1000 kg</t>
  </si>
  <si>
    <t>Jan act</t>
  </si>
  <si>
    <t>Alternative</t>
  </si>
  <si>
    <t>Material cost</t>
  </si>
  <si>
    <t>Total</t>
  </si>
  <si>
    <t>Raw Peanut</t>
  </si>
  <si>
    <t>Biscuit</t>
  </si>
  <si>
    <t>Caramel</t>
  </si>
  <si>
    <t>Designed process loss</t>
  </si>
  <si>
    <t>Material</t>
  </si>
  <si>
    <t>Mat type description</t>
  </si>
  <si>
    <t>Finished goods</t>
  </si>
  <si>
    <t>Raw material</t>
  </si>
  <si>
    <t>Slow moving provision</t>
  </si>
  <si>
    <t>RM write-off</t>
  </si>
  <si>
    <t>LOCOM provision</t>
  </si>
  <si>
    <t>Semi-finished goods</t>
  </si>
  <si>
    <t>Fint</t>
  </si>
  <si>
    <t>Step</t>
  </si>
  <si>
    <t>C</t>
  </si>
  <si>
    <t>Movement</t>
  </si>
  <si>
    <t>Movement description</t>
  </si>
  <si>
    <t>consumption</t>
  </si>
  <si>
    <t>R</t>
  </si>
  <si>
    <t>reception</t>
  </si>
  <si>
    <t>M</t>
  </si>
  <si>
    <t>internal movement</t>
  </si>
  <si>
    <t>P</t>
  </si>
  <si>
    <t>goods production</t>
  </si>
  <si>
    <t>S</t>
  </si>
  <si>
    <t>I</t>
  </si>
  <si>
    <t>Inventory stock-take</t>
  </si>
  <si>
    <t>Month</t>
  </si>
  <si>
    <t>Material number</t>
  </si>
  <si>
    <t>Mat number</t>
  </si>
  <si>
    <t>Mat descr</t>
  </si>
  <si>
    <t>SL</t>
  </si>
  <si>
    <t>Inbound warehouse</t>
  </si>
  <si>
    <t>NP</t>
  </si>
  <si>
    <t>Nut plant</t>
  </si>
  <si>
    <t>Fint production line</t>
  </si>
  <si>
    <t>Fint L</t>
  </si>
  <si>
    <t>Step L</t>
  </si>
  <si>
    <t>Step production line</t>
  </si>
  <si>
    <t>PL</t>
  </si>
  <si>
    <t>Palletizer</t>
  </si>
  <si>
    <t>IN</t>
  </si>
  <si>
    <t>OUT</t>
  </si>
  <si>
    <t>Outbound warehouse</t>
  </si>
  <si>
    <t>Movement type</t>
  </si>
  <si>
    <t>Quantity</t>
  </si>
  <si>
    <t>Amount local currency</t>
  </si>
  <si>
    <t>October</t>
  </si>
  <si>
    <t>Std price</t>
  </si>
  <si>
    <t>Storage location</t>
  </si>
  <si>
    <t>RM reception</t>
  </si>
  <si>
    <t>November</t>
  </si>
  <si>
    <t>December</t>
  </si>
  <si>
    <t>January</t>
  </si>
  <si>
    <t>Std cost</t>
  </si>
  <si>
    <t>Std material cost</t>
  </si>
  <si>
    <t>Opening stock</t>
  </si>
  <si>
    <t>Inflow</t>
  </si>
  <si>
    <t>Outflow</t>
  </si>
  <si>
    <t>Closing stock</t>
  </si>
  <si>
    <t>D</t>
  </si>
  <si>
    <t>dispatch</t>
  </si>
  <si>
    <t>Grand Total</t>
  </si>
  <si>
    <t>Sum of Quantity</t>
  </si>
  <si>
    <t>Actual Purchasing price</t>
  </si>
  <si>
    <t>Total Cash outflow</t>
  </si>
  <si>
    <t>Reception @ std price</t>
  </si>
  <si>
    <t>PPV (purchase price variance)</t>
  </si>
  <si>
    <t>Material type</t>
  </si>
  <si>
    <t>RM stock adjusments</t>
  </si>
  <si>
    <t>SFG write-off</t>
  </si>
  <si>
    <t>SFG stock adjusments</t>
  </si>
  <si>
    <t>FG write-off</t>
  </si>
  <si>
    <t>FG stock adjusments</t>
  </si>
  <si>
    <t>TOTAL RM cost</t>
  </si>
  <si>
    <t>Actuals selling price</t>
  </si>
  <si>
    <t>Revenue</t>
  </si>
  <si>
    <t>TOTAL SALES</t>
  </si>
  <si>
    <t>RM % sales</t>
  </si>
  <si>
    <t>Reevaluated cost</t>
  </si>
  <si>
    <t>cost breakdown</t>
  </si>
  <si>
    <t>FINT</t>
  </si>
  <si>
    <t>Cost per 1 kg</t>
  </si>
  <si>
    <t>STEP</t>
  </si>
  <si>
    <t>Stock reevaluation</t>
  </si>
  <si>
    <t>Provision</t>
  </si>
  <si>
    <t>Reversal</t>
  </si>
  <si>
    <t>consumption @ std</t>
  </si>
  <si>
    <t>Stock reevaluation RM</t>
  </si>
  <si>
    <t>Stock reevaluation SFG</t>
  </si>
  <si>
    <t>Stock reevaluation FG</t>
  </si>
  <si>
    <t>Actual output</t>
  </si>
  <si>
    <t>per</t>
  </si>
  <si>
    <t>Consumption @ std BOM</t>
  </si>
  <si>
    <t>Consumption @ act BOM</t>
  </si>
  <si>
    <t>Formulation variance Qty</t>
  </si>
  <si>
    <t>Standard price</t>
  </si>
  <si>
    <t>Formulation var currency</t>
  </si>
  <si>
    <t>Actual consumption Qty</t>
  </si>
  <si>
    <t>Usage variance</t>
  </si>
  <si>
    <t>Usage variance currency</t>
  </si>
  <si>
    <t>Usage variance Qty</t>
  </si>
  <si>
    <t>P&amp;L reconciliation</t>
  </si>
  <si>
    <t>Consumption @ std price from Mat movements</t>
  </si>
  <si>
    <t>Consumption @ std price from this sheet</t>
  </si>
  <si>
    <t>Expected consumption @std BOM</t>
  </si>
  <si>
    <t>Expected consumption @act BOM</t>
  </si>
  <si>
    <t>Actual consumption @act BOM</t>
  </si>
  <si>
    <t>check</t>
  </si>
  <si>
    <t>Write-off</t>
  </si>
  <si>
    <t>W</t>
  </si>
  <si>
    <t>Std'22</t>
  </si>
  <si>
    <t>Std'23</t>
  </si>
  <si>
    <t>Change in Std cost 23 vs 22</t>
  </si>
  <si>
    <t>Closing stock, qty</t>
  </si>
  <si>
    <t>Outflow, qty</t>
  </si>
  <si>
    <t>MOH</t>
  </si>
  <si>
    <t>MOH, months</t>
  </si>
  <si>
    <t>Average 2-months outflow</t>
  </si>
  <si>
    <t>Stock above MOH=3 (slow moving)</t>
  </si>
  <si>
    <t>Slow moving reserve, currency</t>
  </si>
  <si>
    <t>P&amp;L impact</t>
  </si>
  <si>
    <t>number of months to calculate average sales/consumption</t>
  </si>
  <si>
    <t>3-6</t>
  </si>
  <si>
    <t>Category</t>
  </si>
  <si>
    <t>Active</t>
  </si>
  <si>
    <t>Slow moving</t>
  </si>
  <si>
    <t>Obsolete</t>
  </si>
  <si>
    <t>&lt;3</t>
  </si>
  <si>
    <t>&gt;6</t>
  </si>
  <si>
    <t>Provision, %</t>
  </si>
  <si>
    <t>Calculation</t>
  </si>
  <si>
    <t>TOTAL</t>
  </si>
  <si>
    <t>Selling price</t>
  </si>
  <si>
    <t>RM consumption</t>
  </si>
  <si>
    <t>RM purchase @ std price</t>
  </si>
  <si>
    <t>SFG consumption</t>
  </si>
  <si>
    <t>FG output / production</t>
  </si>
  <si>
    <t>SFG output / production</t>
  </si>
  <si>
    <t>FG dispatch (sales)</t>
  </si>
  <si>
    <t>SL (storage location)</t>
  </si>
  <si>
    <t>SL description</t>
  </si>
  <si>
    <t>Company accounting guidelines:</t>
  </si>
  <si>
    <t>Fint production line Total</t>
  </si>
  <si>
    <t>Inbound warehouse Total</t>
  </si>
  <si>
    <t>Nut plant Total</t>
  </si>
  <si>
    <t>Outbound warehouse Total</t>
  </si>
  <si>
    <t>Palletizer Total</t>
  </si>
  <si>
    <t>Step production line Total</t>
  </si>
  <si>
    <t>Sum of Amount local currency</t>
  </si>
  <si>
    <t>consumption Total</t>
  </si>
  <si>
    <t>internal movement Total</t>
  </si>
  <si>
    <t>Write-off Total</t>
  </si>
  <si>
    <t>Inventory stock-take Total</t>
  </si>
  <si>
    <t>reception Total</t>
  </si>
  <si>
    <t>goods production Total</t>
  </si>
  <si>
    <t>dispatch Total</t>
  </si>
  <si>
    <t>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</si>
</sst>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_₽_-;\-* #,##0.00\ _₽_-;_-* &quot;-&quot;??\ _₽_-;_-@_-"/>
    <numFmt numFmtId="165" formatCode="0.0%"/>
    <numFmt numFmtId="166" formatCode="#,##0.0"/>
    <numFmt numFmtId="167" formatCode="0.0"/>
    <numFmt numFmtId="168" formatCode="_-* #,##0\ _₽_-;\-* #,##0\ _₽_-;_-* &quot;-&quot;??\ _₽_-;_-@_-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i/>
      <sz val="10"/>
      <color rgb="FFFF0000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i/>
      <sz val="8"/>
      <color rgb="FFFF0000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theme="4" tint="0.79998168889431442"/>
      </patternFill>
    </fill>
  </fills>
  <borders count="3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248">
    <xf numFmtId="0" fontId="0" fillId="0" borderId="0" xfId="0"/>
    <xf numFmtId="0" fontId="0" fillId="2" borderId="16" xfId="0" applyFill="1" applyBorder="1"/>
    <xf numFmtId="0" fontId="0" fillId="3" borderId="0" xfId="0" applyFill="1"/>
    <xf numFmtId="0" fontId="1" fillId="3" borderId="0" xfId="0" applyFont="1" applyFill="1"/>
    <xf numFmtId="0" fontId="1" fillId="3" borderId="0" xfId="0" applyFont="1" applyFill="1" applyAlignment="1">
      <alignment horizontal="center"/>
    </xf>
    <xf numFmtId="3" fontId="0" fillId="3" borderId="0" xfId="0" applyNumberFormat="1" applyFill="1"/>
    <xf numFmtId="3" fontId="1" fillId="3" borderId="0" xfId="0" applyNumberFormat="1" applyFont="1" applyFill="1"/>
    <xf numFmtId="0" fontId="3" fillId="3" borderId="0" xfId="0" applyFont="1" applyFill="1"/>
    <xf numFmtId="165" fontId="3" fillId="3" borderId="0" xfId="1" applyNumberFormat="1" applyFont="1" applyFill="1"/>
    <xf numFmtId="0" fontId="0" fillId="3" borderId="10" xfId="0" applyFill="1" applyBorder="1"/>
    <xf numFmtId="0" fontId="0" fillId="3" borderId="0" xfId="0" applyFill="1" applyBorder="1"/>
    <xf numFmtId="0" fontId="0" fillId="3" borderId="3" xfId="0" applyFill="1" applyBorder="1"/>
    <xf numFmtId="0" fontId="1" fillId="3" borderId="0" xfId="0" applyFont="1" applyFill="1" applyBorder="1"/>
    <xf numFmtId="3" fontId="0" fillId="3" borderId="3" xfId="0" applyNumberFormat="1" applyFill="1" applyBorder="1"/>
    <xf numFmtId="0" fontId="1" fillId="3" borderId="11" xfId="0" applyFont="1" applyFill="1" applyBorder="1"/>
    <xf numFmtId="0" fontId="0" fillId="3" borderId="11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9" xfId="0" applyFill="1" applyBorder="1"/>
    <xf numFmtId="0" fontId="0" fillId="3" borderId="1" xfId="0" applyFill="1" applyBorder="1"/>
    <xf numFmtId="0" fontId="3" fillId="3" borderId="0" xfId="0" applyFont="1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8" xfId="0" applyFill="1" applyBorder="1"/>
    <xf numFmtId="0" fontId="0" fillId="3" borderId="19" xfId="0" applyFill="1" applyBorder="1"/>
    <xf numFmtId="3" fontId="0" fillId="3" borderId="19" xfId="0" applyNumberFormat="1" applyFill="1" applyBorder="1"/>
    <xf numFmtId="0" fontId="0" fillId="3" borderId="20" xfId="0" applyFill="1" applyBorder="1"/>
    <xf numFmtId="0" fontId="0" fillId="3" borderId="21" xfId="0" applyFill="1" applyBorder="1"/>
    <xf numFmtId="3" fontId="0" fillId="3" borderId="21" xfId="0" applyNumberFormat="1" applyFill="1" applyBorder="1"/>
    <xf numFmtId="0" fontId="1" fillId="3" borderId="0" xfId="0" applyFont="1" applyFill="1" applyBorder="1" applyAlignment="1">
      <alignment horizontal="center"/>
    </xf>
    <xf numFmtId="166" fontId="0" fillId="3" borderId="0" xfId="0" applyNumberFormat="1" applyFill="1"/>
    <xf numFmtId="0" fontId="0" fillId="3" borderId="2" xfId="0" applyFill="1" applyBorder="1"/>
    <xf numFmtId="3" fontId="0" fillId="3" borderId="0" xfId="0" applyNumberFormat="1" applyFill="1" applyBorder="1"/>
    <xf numFmtId="3" fontId="0" fillId="3" borderId="10" xfId="0" applyNumberFormat="1" applyFill="1" applyBorder="1"/>
    <xf numFmtId="3" fontId="0" fillId="3" borderId="4" xfId="0" applyNumberFormat="1" applyFill="1" applyBorder="1"/>
    <xf numFmtId="3" fontId="0" fillId="3" borderId="5" xfId="0" applyNumberFormat="1" applyFill="1" applyBorder="1"/>
    <xf numFmtId="3" fontId="0" fillId="3" borderId="9" xfId="0" applyNumberFormat="1" applyFill="1" applyBorder="1"/>
    <xf numFmtId="3" fontId="0" fillId="3" borderId="1" xfId="0" applyNumberFormat="1" applyFill="1" applyBorder="1"/>
    <xf numFmtId="3" fontId="0" fillId="3" borderId="2" xfId="0" applyNumberFormat="1" applyFill="1" applyBorder="1"/>
    <xf numFmtId="3" fontId="0" fillId="3" borderId="11" xfId="0" applyNumberFormat="1" applyFill="1" applyBorder="1"/>
    <xf numFmtId="0" fontId="0" fillId="3" borderId="0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0" xfId="0" applyFill="1" applyAlignment="1"/>
    <xf numFmtId="0" fontId="0" fillId="3" borderId="10" xfId="0" applyFill="1" applyBorder="1" applyAlignment="1">
      <alignment horizontal="center"/>
    </xf>
    <xf numFmtId="166" fontId="0" fillId="3" borderId="1" xfId="0" applyNumberFormat="1" applyFill="1" applyBorder="1"/>
    <xf numFmtId="166" fontId="0" fillId="3" borderId="2" xfId="0" applyNumberFormat="1" applyFill="1" applyBorder="1"/>
    <xf numFmtId="166" fontId="0" fillId="3" borderId="4" xfId="0" applyNumberFormat="1" applyFill="1" applyBorder="1"/>
    <xf numFmtId="166" fontId="0" fillId="3" borderId="5" xfId="0" applyNumberFormat="1" applyFill="1" applyBorder="1"/>
    <xf numFmtId="167" fontId="0" fillId="3" borderId="1" xfId="0" applyNumberFormat="1" applyFill="1" applyBorder="1"/>
    <xf numFmtId="167" fontId="0" fillId="3" borderId="2" xfId="0" applyNumberFormat="1" applyFill="1" applyBorder="1"/>
    <xf numFmtId="167" fontId="0" fillId="3" borderId="4" xfId="0" applyNumberFormat="1" applyFill="1" applyBorder="1"/>
    <xf numFmtId="167" fontId="0" fillId="3" borderId="5" xfId="0" applyNumberFormat="1" applyFill="1" applyBorder="1"/>
    <xf numFmtId="0" fontId="0" fillId="3" borderId="0" xfId="0" applyFill="1" applyBorder="1" applyAlignment="1">
      <alignment horizontal="center" vertical="center"/>
    </xf>
    <xf numFmtId="0" fontId="0" fillId="3" borderId="9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3" borderId="3" xfId="0" applyNumberFormat="1" applyFill="1" applyBorder="1"/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9" fontId="0" fillId="3" borderId="3" xfId="0" applyNumberFormat="1" applyFill="1" applyBorder="1" applyAlignment="1">
      <alignment horizontal="center"/>
    </xf>
    <xf numFmtId="16" fontId="0" fillId="3" borderId="0" xfId="0" quotePrefix="1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9" fontId="0" fillId="3" borderId="5" xfId="0" applyNumberFormat="1" applyFill="1" applyBorder="1" applyAlignment="1">
      <alignment horizontal="center"/>
    </xf>
    <xf numFmtId="1" fontId="0" fillId="3" borderId="0" xfId="0" applyNumberFormat="1" applyFill="1" applyBorder="1"/>
    <xf numFmtId="1" fontId="0" fillId="3" borderId="3" xfId="0" applyNumberFormat="1" applyFill="1" applyBorder="1"/>
    <xf numFmtId="1" fontId="0" fillId="3" borderId="4" xfId="0" applyNumberFormat="1" applyFill="1" applyBorder="1"/>
    <xf numFmtId="1" fontId="0" fillId="3" borderId="5" xfId="0" applyNumberFormat="1" applyFill="1" applyBorder="1"/>
    <xf numFmtId="0" fontId="1" fillId="3" borderId="6" xfId="0" applyFont="1" applyFill="1" applyBorder="1"/>
    <xf numFmtId="0" fontId="0" fillId="3" borderId="7" xfId="0" applyFill="1" applyBorder="1" applyAlignment="1">
      <alignment horizontal="center"/>
    </xf>
    <xf numFmtId="167" fontId="0" fillId="3" borderId="0" xfId="0" applyNumberFormat="1" applyFill="1" applyBorder="1"/>
    <xf numFmtId="167" fontId="0" fillId="3" borderId="3" xfId="0" applyNumberFormat="1" applyFill="1" applyBorder="1"/>
    <xf numFmtId="1" fontId="0" fillId="3" borderId="10" xfId="0" applyNumberFormat="1" applyFill="1" applyBorder="1"/>
    <xf numFmtId="2" fontId="0" fillId="3" borderId="7" xfId="0" applyNumberFormat="1" applyFill="1" applyBorder="1"/>
    <xf numFmtId="1" fontId="0" fillId="3" borderId="11" xfId="0" applyNumberFormat="1" applyFill="1" applyBorder="1"/>
    <xf numFmtId="2" fontId="0" fillId="3" borderId="8" xfId="0" applyNumberFormat="1" applyFill="1" applyBorder="1"/>
    <xf numFmtId="1" fontId="1" fillId="3" borderId="0" xfId="0" applyNumberFormat="1" applyFont="1" applyFill="1"/>
    <xf numFmtId="0" fontId="0" fillId="3" borderId="11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8" fillId="3" borderId="0" xfId="0" applyFont="1" applyFill="1"/>
    <xf numFmtId="3" fontId="8" fillId="3" borderId="0" xfId="0" applyNumberFormat="1" applyFont="1" applyFill="1"/>
    <xf numFmtId="0" fontId="10" fillId="3" borderId="0" xfId="0" applyFont="1" applyFill="1" applyAlignment="1">
      <alignment horizontal="center"/>
    </xf>
    <xf numFmtId="9" fontId="3" fillId="3" borderId="0" xfId="1" applyFont="1" applyFill="1"/>
    <xf numFmtId="165" fontId="11" fillId="3" borderId="0" xfId="1" applyNumberFormat="1" applyFont="1" applyFill="1"/>
    <xf numFmtId="0" fontId="0" fillId="3" borderId="0" xfId="0" applyFill="1" applyAlignment="1">
      <alignment wrapText="1"/>
    </xf>
    <xf numFmtId="166" fontId="0" fillId="3" borderId="0" xfId="0" applyNumberFormat="1" applyFill="1" applyBorder="1"/>
    <xf numFmtId="0" fontId="0" fillId="3" borderId="1" xfId="0" applyFill="1" applyBorder="1" applyAlignment="1"/>
    <xf numFmtId="2" fontId="0" fillId="3" borderId="4" xfId="0" applyNumberFormat="1" applyFill="1" applyBorder="1"/>
    <xf numFmtId="2" fontId="0" fillId="3" borderId="5" xfId="0" applyNumberFormat="1" applyFill="1" applyBorder="1"/>
    <xf numFmtId="166" fontId="1" fillId="3" borderId="4" xfId="0" applyNumberFormat="1" applyFont="1" applyFill="1" applyBorder="1"/>
    <xf numFmtId="166" fontId="1" fillId="3" borderId="5" xfId="0" applyNumberFormat="1" applyFont="1" applyFill="1" applyBorder="1"/>
    <xf numFmtId="0" fontId="0" fillId="3" borderId="17" xfId="0" applyFill="1" applyBorder="1"/>
    <xf numFmtId="0" fontId="1" fillId="3" borderId="19" xfId="0" applyFont="1" applyFill="1" applyBorder="1"/>
    <xf numFmtId="165" fontId="3" fillId="3" borderId="0" xfId="1" applyNumberFormat="1" applyFont="1" applyFill="1" applyBorder="1"/>
    <xf numFmtId="165" fontId="3" fillId="3" borderId="19" xfId="1" applyNumberFormat="1" applyFont="1" applyFill="1" applyBorder="1"/>
    <xf numFmtId="0" fontId="0" fillId="3" borderId="22" xfId="0" applyFill="1" applyBorder="1"/>
    <xf numFmtId="0" fontId="1" fillId="3" borderId="19" xfId="0" applyFont="1" applyFill="1" applyBorder="1" applyAlignment="1">
      <alignment horizontal="center"/>
    </xf>
    <xf numFmtId="0" fontId="0" fillId="3" borderId="18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167" fontId="0" fillId="3" borderId="21" xfId="0" applyNumberFormat="1" applyFill="1" applyBorder="1"/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5" fillId="3" borderId="0" xfId="0" applyFont="1" applyFill="1" applyBorder="1"/>
    <xf numFmtId="164" fontId="6" fillId="3" borderId="0" xfId="2" applyFont="1" applyFill="1" applyBorder="1"/>
    <xf numFmtId="164" fontId="6" fillId="3" borderId="19" xfId="2" applyFont="1" applyFill="1" applyBorder="1"/>
    <xf numFmtId="1" fontId="0" fillId="3" borderId="19" xfId="0" applyNumberFormat="1" applyFill="1" applyBorder="1"/>
    <xf numFmtId="168" fontId="7" fillId="3" borderId="0" xfId="2" applyNumberFormat="1" applyFont="1" applyFill="1" applyBorder="1"/>
    <xf numFmtId="168" fontId="7" fillId="3" borderId="19" xfId="2" applyNumberFormat="1" applyFont="1" applyFill="1" applyBorder="1"/>
    <xf numFmtId="0" fontId="5" fillId="3" borderId="21" xfId="0" applyFont="1" applyFill="1" applyBorder="1"/>
    <xf numFmtId="168" fontId="7" fillId="3" borderId="21" xfId="2" applyNumberFormat="1" applyFont="1" applyFill="1" applyBorder="1"/>
    <xf numFmtId="168" fontId="7" fillId="3" borderId="22" xfId="2" applyNumberFormat="1" applyFont="1" applyFill="1" applyBorder="1"/>
    <xf numFmtId="164" fontId="9" fillId="3" borderId="0" xfId="2" applyFont="1" applyFill="1" applyAlignment="1">
      <alignment horizontal="center"/>
    </xf>
    <xf numFmtId="0" fontId="0" fillId="4" borderId="0" xfId="0" applyFill="1"/>
    <xf numFmtId="0" fontId="1" fillId="4" borderId="12" xfId="0" applyFont="1" applyFill="1" applyBorder="1"/>
    <xf numFmtId="0" fontId="1" fillId="4" borderId="14" xfId="0" applyFont="1" applyFill="1" applyBorder="1"/>
    <xf numFmtId="0" fontId="0" fillId="4" borderId="10" xfId="0" applyFill="1" applyBorder="1"/>
    <xf numFmtId="0" fontId="0" fillId="4" borderId="3" xfId="0" applyFill="1" applyBorder="1"/>
    <xf numFmtId="0" fontId="0" fillId="4" borderId="11" xfId="0" applyFill="1" applyBorder="1"/>
    <xf numFmtId="0" fontId="0" fillId="4" borderId="5" xfId="0" applyFill="1" applyBorder="1"/>
    <xf numFmtId="0" fontId="0" fillId="4" borderId="9" xfId="0" applyFill="1" applyBorder="1"/>
    <xf numFmtId="0" fontId="0" fillId="4" borderId="1" xfId="0" applyFill="1" applyBorder="1"/>
    <xf numFmtId="0" fontId="1" fillId="4" borderId="11" xfId="0" applyFont="1" applyFill="1" applyBorder="1"/>
    <xf numFmtId="0" fontId="1" fillId="4" borderId="4" xfId="0" applyFont="1" applyFill="1" applyBorder="1"/>
    <xf numFmtId="0" fontId="0" fillId="4" borderId="0" xfId="0" applyFill="1" applyBorder="1"/>
    <xf numFmtId="0" fontId="0" fillId="4" borderId="4" xfId="0" applyFill="1" applyBorder="1"/>
    <xf numFmtId="0" fontId="0" fillId="4" borderId="15" xfId="0" applyFill="1" applyBorder="1"/>
    <xf numFmtId="0" fontId="0" fillId="4" borderId="16" xfId="0" applyFill="1" applyBorder="1"/>
    <xf numFmtId="0" fontId="0" fillId="4" borderId="18" xfId="0" applyFill="1" applyBorder="1"/>
    <xf numFmtId="0" fontId="1" fillId="4" borderId="18" xfId="0" applyFont="1" applyFill="1" applyBorder="1"/>
    <xf numFmtId="0" fontId="1" fillId="4" borderId="0" xfId="0" applyFont="1" applyFill="1" applyBorder="1"/>
    <xf numFmtId="0" fontId="1" fillId="4" borderId="9" xfId="0" applyFont="1" applyFill="1" applyBorder="1"/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0" xfId="0" applyFont="1" applyFill="1" applyBorder="1"/>
    <xf numFmtId="0" fontId="1" fillId="4" borderId="3" xfId="0" applyFont="1" applyFill="1" applyBorder="1"/>
    <xf numFmtId="0" fontId="0" fillId="4" borderId="20" xfId="0" applyFill="1" applyBorder="1"/>
    <xf numFmtId="0" fontId="3" fillId="4" borderId="21" xfId="0" applyFont="1" applyFill="1" applyBorder="1"/>
    <xf numFmtId="165" fontId="3" fillId="4" borderId="25" xfId="1" applyNumberFormat="1" applyFont="1" applyFill="1" applyBorder="1"/>
    <xf numFmtId="165" fontId="3" fillId="4" borderId="21" xfId="1" applyNumberFormat="1" applyFont="1" applyFill="1" applyBorder="1"/>
    <xf numFmtId="165" fontId="3" fillId="4" borderId="26" xfId="1" applyNumberFormat="1" applyFont="1" applyFill="1" applyBorder="1"/>
    <xf numFmtId="0" fontId="3" fillId="4" borderId="0" xfId="0" applyFont="1" applyFill="1" applyBorder="1"/>
    <xf numFmtId="165" fontId="3" fillId="4" borderId="11" xfId="1" applyNumberFormat="1" applyFont="1" applyFill="1" applyBorder="1"/>
    <xf numFmtId="165" fontId="3" fillId="4" borderId="4" xfId="1" applyNumberFormat="1" applyFont="1" applyFill="1" applyBorder="1"/>
    <xf numFmtId="165" fontId="3" fillId="4" borderId="5" xfId="1" applyNumberFormat="1" applyFont="1" applyFill="1" applyBorder="1"/>
    <xf numFmtId="0" fontId="0" fillId="4" borderId="21" xfId="0" applyFill="1" applyBorder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3" fontId="0" fillId="4" borderId="1" xfId="0" applyNumberFormat="1" applyFill="1" applyBorder="1"/>
    <xf numFmtId="3" fontId="0" fillId="4" borderId="2" xfId="0" applyNumberFormat="1" applyFill="1" applyBorder="1"/>
    <xf numFmtId="3" fontId="0" fillId="4" borderId="0" xfId="0" applyNumberFormat="1" applyFill="1" applyBorder="1"/>
    <xf numFmtId="3" fontId="0" fillId="4" borderId="3" xfId="0" applyNumberFormat="1" applyFill="1" applyBorder="1"/>
    <xf numFmtId="3" fontId="0" fillId="4" borderId="4" xfId="0" applyNumberFormat="1" applyFill="1" applyBorder="1"/>
    <xf numFmtId="3" fontId="0" fillId="4" borderId="5" xfId="0" applyNumberFormat="1" applyFill="1" applyBorder="1"/>
    <xf numFmtId="166" fontId="0" fillId="4" borderId="2" xfId="0" applyNumberFormat="1" applyFill="1" applyBorder="1"/>
    <xf numFmtId="166" fontId="0" fillId="4" borderId="3" xfId="0" applyNumberFormat="1" applyFill="1" applyBorder="1"/>
    <xf numFmtId="3" fontId="0" fillId="4" borderId="0" xfId="0" applyNumberFormat="1" applyFill="1"/>
    <xf numFmtId="166" fontId="0" fillId="4" borderId="5" xfId="0" applyNumberFormat="1" applyFill="1" applyBorder="1"/>
    <xf numFmtId="1" fontId="0" fillId="4" borderId="0" xfId="0" applyNumberFormat="1" applyFill="1"/>
    <xf numFmtId="0" fontId="0" fillId="0" borderId="0" xfId="0" pivotButton="1"/>
    <xf numFmtId="3" fontId="0" fillId="0" borderId="0" xfId="0" applyNumberFormat="1"/>
    <xf numFmtId="0" fontId="0" fillId="5" borderId="0" xfId="0" applyFill="1"/>
    <xf numFmtId="3" fontId="0" fillId="5" borderId="0" xfId="0" applyNumberFormat="1" applyFill="1"/>
    <xf numFmtId="0" fontId="0" fillId="2" borderId="0" xfId="0" applyFill="1"/>
    <xf numFmtId="3" fontId="0" fillId="2" borderId="0" xfId="0" applyNumberFormat="1" applyFill="1"/>
    <xf numFmtId="0" fontId="0" fillId="6" borderId="0" xfId="0" applyFill="1"/>
    <xf numFmtId="2" fontId="0" fillId="4" borderId="0" xfId="0" applyNumberFormat="1" applyFill="1" applyBorder="1" applyAlignment="1">
      <alignment horizontal="center"/>
    </xf>
    <xf numFmtId="2" fontId="0" fillId="4" borderId="4" xfId="0" applyNumberForma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3" fontId="0" fillId="4" borderId="19" xfId="0" applyNumberFormat="1" applyFill="1" applyBorder="1"/>
    <xf numFmtId="3" fontId="1" fillId="4" borderId="3" xfId="0" applyNumberFormat="1" applyFont="1" applyFill="1" applyBorder="1"/>
    <xf numFmtId="3" fontId="1" fillId="4" borderId="19" xfId="0" applyNumberFormat="1" applyFont="1" applyFill="1" applyBorder="1"/>
    <xf numFmtId="0" fontId="1" fillId="4" borderId="21" xfId="0" applyFont="1" applyFill="1" applyBorder="1"/>
    <xf numFmtId="0" fontId="1" fillId="4" borderId="25" xfId="0" applyFont="1" applyFill="1" applyBorder="1"/>
    <xf numFmtId="3" fontId="1" fillId="4" borderId="26" xfId="0" applyNumberFormat="1" applyFont="1" applyFill="1" applyBorder="1"/>
    <xf numFmtId="3" fontId="1" fillId="4" borderId="22" xfId="0" applyNumberFormat="1" applyFont="1" applyFill="1" applyBorder="1"/>
    <xf numFmtId="3" fontId="0" fillId="4" borderId="16" xfId="0" applyNumberFormat="1" applyFill="1" applyBorder="1"/>
    <xf numFmtId="3" fontId="0" fillId="4" borderId="17" xfId="0" applyNumberFormat="1" applyFill="1" applyBorder="1"/>
    <xf numFmtId="0" fontId="0" fillId="4" borderId="3" xfId="0" applyFill="1" applyBorder="1" applyAlignment="1">
      <alignment horizontal="center"/>
    </xf>
    <xf numFmtId="3" fontId="1" fillId="4" borderId="5" xfId="0" applyNumberFormat="1" applyFont="1" applyFill="1" applyBorder="1"/>
    <xf numFmtId="3" fontId="1" fillId="4" borderId="27" xfId="0" applyNumberFormat="1" applyFont="1" applyFill="1" applyBorder="1"/>
    <xf numFmtId="3" fontId="0" fillId="4" borderId="21" xfId="0" applyNumberFormat="1" applyFill="1" applyBorder="1"/>
    <xf numFmtId="3" fontId="0" fillId="4" borderId="22" xfId="0" applyNumberFormat="1" applyFill="1" applyBorder="1"/>
    <xf numFmtId="2" fontId="1" fillId="4" borderId="0" xfId="0" applyNumberFormat="1" applyFont="1" applyFill="1" applyBorder="1"/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2" fontId="0" fillId="4" borderId="3" xfId="0" applyNumberFormat="1" applyFill="1" applyBorder="1" applyAlignment="1">
      <alignment horizontal="center"/>
    </xf>
    <xf numFmtId="167" fontId="0" fillId="4" borderId="3" xfId="0" applyNumberFormat="1" applyFill="1" applyBorder="1" applyAlignment="1">
      <alignment horizontal="center"/>
    </xf>
    <xf numFmtId="167" fontId="0" fillId="4" borderId="5" xfId="0" applyNumberFormat="1" applyFill="1" applyBorder="1" applyAlignment="1">
      <alignment horizontal="center"/>
    </xf>
    <xf numFmtId="166" fontId="0" fillId="4" borderId="0" xfId="0" applyNumberFormat="1" applyFill="1"/>
    <xf numFmtId="3" fontId="1" fillId="4" borderId="0" xfId="0" applyNumberFormat="1" applyFont="1" applyFill="1"/>
    <xf numFmtId="0" fontId="0" fillId="4" borderId="12" xfId="0" applyFill="1" applyBorder="1"/>
    <xf numFmtId="0" fontId="0" fillId="4" borderId="14" xfId="0" applyFill="1" applyBorder="1"/>
    <xf numFmtId="0" fontId="0" fillId="4" borderId="2" xfId="0" applyFill="1" applyBorder="1"/>
    <xf numFmtId="0" fontId="0" fillId="4" borderId="29" xfId="0" applyFill="1" applyBorder="1"/>
    <xf numFmtId="0" fontId="4" fillId="7" borderId="9" xfId="0" applyFont="1" applyFill="1" applyBorder="1"/>
    <xf numFmtId="0" fontId="4" fillId="7" borderId="1" xfId="0" applyFont="1" applyFill="1" applyBorder="1"/>
    <xf numFmtId="0" fontId="4" fillId="7" borderId="2" xfId="0" applyFont="1" applyFill="1" applyBorder="1"/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4" fillId="7" borderId="10" xfId="0" applyFont="1" applyFill="1" applyBorder="1"/>
    <xf numFmtId="0" fontId="4" fillId="7" borderId="0" xfId="0" applyFont="1" applyFill="1" applyBorder="1"/>
    <xf numFmtId="0" fontId="4" fillId="7" borderId="0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0" fillId="4" borderId="6" xfId="0" applyFill="1" applyBorder="1"/>
    <xf numFmtId="3" fontId="0" fillId="4" borderId="9" xfId="0" applyNumberFormat="1" applyFill="1" applyBorder="1"/>
    <xf numFmtId="0" fontId="4" fillId="4" borderId="10" xfId="0" applyFont="1" applyFill="1" applyBorder="1"/>
    <xf numFmtId="0" fontId="0" fillId="4" borderId="8" xfId="0" applyFill="1" applyBorder="1"/>
    <xf numFmtId="3" fontId="0" fillId="4" borderId="10" xfId="0" applyNumberFormat="1" applyFill="1" applyBorder="1"/>
    <xf numFmtId="0" fontId="4" fillId="4" borderId="11" xfId="0" applyFont="1" applyFill="1" applyBorder="1"/>
    <xf numFmtId="3" fontId="0" fillId="4" borderId="11" xfId="0" applyNumberFormat="1" applyFill="1" applyBorder="1"/>
    <xf numFmtId="3" fontId="1" fillId="4" borderId="4" xfId="0" applyNumberFormat="1" applyFont="1" applyFill="1" applyBorder="1"/>
    <xf numFmtId="0" fontId="0" fillId="4" borderId="13" xfId="0" applyFill="1" applyBorder="1"/>
    <xf numFmtId="0" fontId="1" fillId="4" borderId="5" xfId="0" applyFont="1" applyFill="1" applyBorder="1"/>
    <xf numFmtId="0" fontId="4" fillId="7" borderId="11" xfId="0" applyFont="1" applyFill="1" applyBorder="1"/>
    <xf numFmtId="0" fontId="4" fillId="7" borderId="4" xfId="0" applyFont="1" applyFill="1" applyBorder="1"/>
    <xf numFmtId="0" fontId="4" fillId="7" borderId="5" xfId="0" applyFont="1" applyFill="1" applyBorder="1"/>
    <xf numFmtId="0" fontId="0" fillId="4" borderId="7" xfId="0" applyFill="1" applyBorder="1"/>
    <xf numFmtId="0" fontId="4" fillId="7" borderId="3" xfId="0" applyFont="1" applyFill="1" applyBorder="1"/>
    <xf numFmtId="3" fontId="1" fillId="4" borderId="11" xfId="0" applyNumberFormat="1" applyFont="1" applyFill="1" applyBorder="1"/>
    <xf numFmtId="0" fontId="1" fillId="4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103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alignment horizontal="center"/>
    </dxf>
    <dxf>
      <fill>
        <patternFill>
          <bgColor theme="7" tint="0.59999389629810485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358140</xdr:colOff>
      <xdr:row>27</xdr:row>
      <xdr:rowOff>149375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106D16-38F1-4979-84C4-3BDF35E5D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605260" cy="50871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213360</xdr:colOff>
      <xdr:row>28</xdr:row>
      <xdr:rowOff>144814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932857-9151-410F-880D-ABFAA7FE2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35000" cy="52654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102430</xdr:colOff>
      <xdr:row>28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F4DF53-3E1E-43B0-AEBF-AAB1D7011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848910" cy="515112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4616.656227546293" createdVersion="6" refreshedVersion="7" minRefreshableVersion="3" recordCount="116" xr:uid="{2BECBD66-DA49-406D-8CD3-D5F613F9E0D6}">
  <cacheSource type="worksheet">
    <worksheetSource ref="A1:K1048576" sheet="Movements"/>
  </cacheSource>
  <cacheFields count="11">
    <cacheField name="Month" numFmtId="0">
      <sharedItems containsBlank="1" count="5">
        <s v="October"/>
        <s v="November"/>
        <s v="December"/>
        <s v="January"/>
        <m/>
      </sharedItems>
    </cacheField>
    <cacheField name="Material" numFmtId="0">
      <sharedItems containsString="0" containsBlank="1" containsNumber="1" containsInteger="1" minValue="120301" maxValue="876145" count="8">
        <n v="867156"/>
        <n v="765190"/>
        <n v="657341"/>
        <n v="560196"/>
        <n v="120301"/>
        <n v="156212"/>
        <n v="876145"/>
        <m/>
      </sharedItems>
    </cacheField>
    <cacheField name="Mat descr" numFmtId="0">
      <sharedItems containsBlank="1" count="8">
        <s v="Chocolate mass"/>
        <s v="Caramel"/>
        <s v="Raw Peanut"/>
        <s v="Biscuit"/>
        <s v="Fint"/>
        <s v="Step"/>
        <s v="Fried Peanut"/>
        <m/>
      </sharedItems>
    </cacheField>
    <cacheField name="Material type" numFmtId="0">
      <sharedItems containsBlank="1"/>
    </cacheField>
    <cacheField name="SL" numFmtId="0">
      <sharedItems containsBlank="1"/>
    </cacheField>
    <cacheField name="Storage location" numFmtId="0">
      <sharedItems containsBlank="1" count="7">
        <s v="Inbound warehouse"/>
        <s v="Palletizer"/>
        <s v="Nut plant"/>
        <s v="Outbound warehouse"/>
        <s v="Fint production line"/>
        <s v="Step production line"/>
        <m/>
      </sharedItems>
    </cacheField>
    <cacheField name="Movement" numFmtId="0">
      <sharedItems containsBlank="1"/>
    </cacheField>
    <cacheField name="Movement type" numFmtId="0">
      <sharedItems containsBlank="1" count="9">
        <s v="reception"/>
        <s v="goods production"/>
        <s v="internal movement"/>
        <s v="dispatch"/>
        <s v="consumption"/>
        <s v="Inventory stock-take"/>
        <s v="Write-off"/>
        <m/>
        <s v="Scrap &amp; Write-off" u="1"/>
      </sharedItems>
    </cacheField>
    <cacheField name="Quantity" numFmtId="0">
      <sharedItems containsString="0" containsBlank="1" containsNumber="1" minValue="-1500" maxValue="2481"/>
    </cacheField>
    <cacheField name="Std price" numFmtId="0">
      <sharedItems containsString="0" containsBlank="1" containsNumber="1" minValue="15" maxValue="31"/>
    </cacheField>
    <cacheField name="Amount local currency" numFmtId="0">
      <sharedItems containsString="0" containsBlank="1" containsNumber="1" minValue="-38917.5" maxValue="694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x v="0"/>
    <x v="0"/>
    <x v="0"/>
    <s v="RM"/>
    <s v="IN"/>
    <x v="0"/>
    <s v="R"/>
    <x v="0"/>
    <n v="2481"/>
    <n v="28"/>
    <n v="69468"/>
  </r>
  <r>
    <x v="0"/>
    <x v="1"/>
    <x v="1"/>
    <s v="RM"/>
    <s v="IN"/>
    <x v="0"/>
    <s v="R"/>
    <x v="0"/>
    <n v="198"/>
    <n v="15"/>
    <n v="2970"/>
  </r>
  <r>
    <x v="0"/>
    <x v="2"/>
    <x v="2"/>
    <s v="RM"/>
    <s v="IN"/>
    <x v="0"/>
    <s v="R"/>
    <x v="0"/>
    <n v="89.5"/>
    <n v="25"/>
    <n v="2237.5"/>
  </r>
  <r>
    <x v="0"/>
    <x v="3"/>
    <x v="3"/>
    <s v="RM"/>
    <s v="IN"/>
    <x v="0"/>
    <s v="R"/>
    <x v="0"/>
    <n v="330"/>
    <n v="25"/>
    <n v="8250"/>
  </r>
  <r>
    <x v="0"/>
    <x v="3"/>
    <x v="3"/>
    <s v="RM"/>
    <s v="IN"/>
    <x v="0"/>
    <s v="R"/>
    <x v="0"/>
    <n v="-100"/>
    <n v="25"/>
    <n v="-2500"/>
  </r>
  <r>
    <x v="1"/>
    <x v="4"/>
    <x v="4"/>
    <s v="FG"/>
    <s v="PL"/>
    <x v="1"/>
    <s v="P"/>
    <x v="1"/>
    <n v="510"/>
    <n v="27.24775"/>
    <n v="13896.352499999999"/>
  </r>
  <r>
    <x v="1"/>
    <x v="5"/>
    <x v="5"/>
    <s v="FG"/>
    <s v="PL"/>
    <x v="1"/>
    <s v="P"/>
    <x v="1"/>
    <n v="1000"/>
    <n v="25.945"/>
    <n v="25945"/>
  </r>
  <r>
    <x v="1"/>
    <x v="6"/>
    <x v="6"/>
    <s v="SFG"/>
    <s v="NP"/>
    <x v="2"/>
    <s v="P"/>
    <x v="1"/>
    <n v="110"/>
    <n v="28.75"/>
    <n v="3162.5"/>
  </r>
  <r>
    <x v="2"/>
    <x v="4"/>
    <x v="4"/>
    <s v="FG"/>
    <s v="PL"/>
    <x v="1"/>
    <s v="P"/>
    <x v="1"/>
    <n v="800"/>
    <n v="27.24775"/>
    <n v="21798.2"/>
  </r>
  <r>
    <x v="2"/>
    <x v="5"/>
    <x v="5"/>
    <s v="FG"/>
    <s v="PL"/>
    <x v="1"/>
    <s v="P"/>
    <x v="1"/>
    <n v="1500"/>
    <n v="25.945"/>
    <n v="38917.5"/>
  </r>
  <r>
    <x v="2"/>
    <x v="6"/>
    <x v="6"/>
    <s v="SFG"/>
    <s v="NP"/>
    <x v="2"/>
    <s v="P"/>
    <x v="1"/>
    <n v="205.05"/>
    <n v="28.75"/>
    <n v="5895.1875"/>
  </r>
  <r>
    <x v="3"/>
    <x v="4"/>
    <x v="4"/>
    <s v="FG"/>
    <s v="PL"/>
    <x v="1"/>
    <s v="P"/>
    <x v="1"/>
    <n v="700"/>
    <n v="29.259799999999998"/>
    <n v="20481.86"/>
  </r>
  <r>
    <x v="3"/>
    <x v="5"/>
    <x v="5"/>
    <s v="FG"/>
    <s v="PL"/>
    <x v="1"/>
    <s v="P"/>
    <x v="1"/>
    <n v="303"/>
    <n v="28.45"/>
    <n v="8620.35"/>
  </r>
  <r>
    <x v="3"/>
    <x v="6"/>
    <x v="6"/>
    <s v="SFG"/>
    <s v="NP"/>
    <x v="2"/>
    <s v="P"/>
    <x v="1"/>
    <n v="100"/>
    <n v="27.6"/>
    <n v="2760"/>
  </r>
  <r>
    <x v="1"/>
    <x v="4"/>
    <x v="4"/>
    <s v="FG"/>
    <s v="PL"/>
    <x v="1"/>
    <s v="M"/>
    <x v="2"/>
    <n v="-510"/>
    <n v="27.24775"/>
    <n v="-13896.352499999999"/>
  </r>
  <r>
    <x v="1"/>
    <x v="5"/>
    <x v="5"/>
    <s v="FG"/>
    <s v="PL"/>
    <x v="1"/>
    <s v="M"/>
    <x v="2"/>
    <n v="-1000"/>
    <n v="25.945"/>
    <n v="-25945"/>
  </r>
  <r>
    <x v="2"/>
    <x v="4"/>
    <x v="4"/>
    <s v="FG"/>
    <s v="PL"/>
    <x v="1"/>
    <s v="M"/>
    <x v="2"/>
    <n v="-800"/>
    <n v="27.24775"/>
    <n v="-21798.2"/>
  </r>
  <r>
    <x v="2"/>
    <x v="5"/>
    <x v="5"/>
    <s v="FG"/>
    <s v="PL"/>
    <x v="1"/>
    <s v="M"/>
    <x v="2"/>
    <n v="-1500"/>
    <n v="25.945"/>
    <n v="-38917.5"/>
  </r>
  <r>
    <x v="3"/>
    <x v="4"/>
    <x v="4"/>
    <s v="FG"/>
    <s v="PL"/>
    <x v="1"/>
    <s v="M"/>
    <x v="2"/>
    <n v="-700"/>
    <n v="29.259799999999998"/>
    <n v="-20481.86"/>
  </r>
  <r>
    <x v="3"/>
    <x v="5"/>
    <x v="5"/>
    <s v="FG"/>
    <s v="PL"/>
    <x v="1"/>
    <s v="M"/>
    <x v="2"/>
    <n v="-303"/>
    <n v="28.45"/>
    <n v="-8620.35"/>
  </r>
  <r>
    <x v="1"/>
    <x v="4"/>
    <x v="4"/>
    <s v="FG"/>
    <s v="OUT"/>
    <x v="3"/>
    <s v="M"/>
    <x v="2"/>
    <n v="510"/>
    <n v="27.24775"/>
    <n v="13896.352499999999"/>
  </r>
  <r>
    <x v="1"/>
    <x v="5"/>
    <x v="5"/>
    <s v="FG"/>
    <s v="OUT"/>
    <x v="3"/>
    <s v="M"/>
    <x v="2"/>
    <n v="1000"/>
    <n v="25.945"/>
    <n v="25945"/>
  </r>
  <r>
    <x v="2"/>
    <x v="4"/>
    <x v="4"/>
    <s v="FG"/>
    <s v="OUT"/>
    <x v="3"/>
    <s v="M"/>
    <x v="2"/>
    <n v="800"/>
    <n v="27.24775"/>
    <n v="21798.2"/>
  </r>
  <r>
    <x v="2"/>
    <x v="5"/>
    <x v="5"/>
    <s v="FG"/>
    <s v="OUT"/>
    <x v="3"/>
    <s v="M"/>
    <x v="2"/>
    <n v="1500"/>
    <n v="25.945"/>
    <n v="38917.5"/>
  </r>
  <r>
    <x v="3"/>
    <x v="4"/>
    <x v="4"/>
    <s v="FG"/>
    <s v="OUT"/>
    <x v="3"/>
    <s v="M"/>
    <x v="2"/>
    <n v="700"/>
    <n v="29.259799999999998"/>
    <n v="20481.86"/>
  </r>
  <r>
    <x v="3"/>
    <x v="5"/>
    <x v="5"/>
    <s v="FG"/>
    <s v="OUT"/>
    <x v="3"/>
    <s v="M"/>
    <x v="2"/>
    <n v="303"/>
    <n v="28.45"/>
    <n v="8620.35"/>
  </r>
  <r>
    <x v="1"/>
    <x v="4"/>
    <x v="4"/>
    <s v="FG"/>
    <s v="OUT"/>
    <x v="3"/>
    <s v="D"/>
    <x v="3"/>
    <n v="-300"/>
    <n v="27.24775"/>
    <n v="-8174.3249999999998"/>
  </r>
  <r>
    <x v="1"/>
    <x v="5"/>
    <x v="5"/>
    <s v="FG"/>
    <s v="OUT"/>
    <x v="3"/>
    <s v="D"/>
    <x v="3"/>
    <n v="-500"/>
    <n v="25.945"/>
    <n v="-12972.5"/>
  </r>
  <r>
    <x v="2"/>
    <x v="4"/>
    <x v="4"/>
    <s v="FG"/>
    <s v="OUT"/>
    <x v="3"/>
    <s v="D"/>
    <x v="3"/>
    <n v="-900"/>
    <n v="27.24775"/>
    <n v="-24522.974999999999"/>
  </r>
  <r>
    <x v="2"/>
    <x v="5"/>
    <x v="5"/>
    <s v="FG"/>
    <s v="OUT"/>
    <x v="3"/>
    <s v="D"/>
    <x v="3"/>
    <n v="-1300"/>
    <n v="25.945"/>
    <n v="-33728.5"/>
  </r>
  <r>
    <x v="3"/>
    <x v="4"/>
    <x v="4"/>
    <s v="FG"/>
    <s v="OUT"/>
    <x v="3"/>
    <s v="D"/>
    <x v="3"/>
    <n v="-800"/>
    <n v="29.259799999999998"/>
    <n v="-23407.84"/>
  </r>
  <r>
    <x v="3"/>
    <x v="5"/>
    <x v="5"/>
    <s v="FG"/>
    <s v="OUT"/>
    <x v="3"/>
    <s v="D"/>
    <x v="3"/>
    <n v="-1000"/>
    <n v="28.45"/>
    <n v="-28450"/>
  </r>
  <r>
    <x v="1"/>
    <x v="6"/>
    <x v="6"/>
    <s v="SFG"/>
    <s v="NP"/>
    <x v="2"/>
    <s v="M"/>
    <x v="2"/>
    <n v="-110"/>
    <n v="28.75"/>
    <n v="-3162.5"/>
  </r>
  <r>
    <x v="2"/>
    <x v="6"/>
    <x v="6"/>
    <s v="SFG"/>
    <s v="NP"/>
    <x v="2"/>
    <s v="M"/>
    <x v="2"/>
    <n v="-205.05"/>
    <n v="28.75"/>
    <n v="-5895.1875"/>
  </r>
  <r>
    <x v="3"/>
    <x v="6"/>
    <x v="6"/>
    <s v="SFG"/>
    <s v="NP"/>
    <x v="2"/>
    <s v="M"/>
    <x v="2"/>
    <n v="-100"/>
    <n v="27.6"/>
    <n v="-2760"/>
  </r>
  <r>
    <x v="1"/>
    <x v="6"/>
    <x v="6"/>
    <s v="SFG"/>
    <s v="Fint L"/>
    <x v="4"/>
    <s v="M"/>
    <x v="2"/>
    <n v="110"/>
    <n v="28.75"/>
    <n v="3162.5"/>
  </r>
  <r>
    <x v="2"/>
    <x v="6"/>
    <x v="6"/>
    <s v="SFG"/>
    <s v="Fint L"/>
    <x v="4"/>
    <s v="M"/>
    <x v="2"/>
    <n v="205.05"/>
    <n v="28.75"/>
    <n v="5895.1875"/>
  </r>
  <r>
    <x v="3"/>
    <x v="6"/>
    <x v="6"/>
    <s v="SFG"/>
    <s v="Fint L"/>
    <x v="4"/>
    <s v="M"/>
    <x v="2"/>
    <n v="100"/>
    <n v="27.6"/>
    <n v="2760"/>
  </r>
  <r>
    <x v="1"/>
    <x v="0"/>
    <x v="0"/>
    <s v="RM"/>
    <s v="Fint L"/>
    <x v="4"/>
    <s v="C"/>
    <x v="4"/>
    <n v="-361.08"/>
    <n v="28"/>
    <n v="-10110.24"/>
  </r>
  <r>
    <x v="1"/>
    <x v="6"/>
    <x v="6"/>
    <s v="SFG"/>
    <s v="Fint L"/>
    <x v="4"/>
    <s v="C"/>
    <x v="4"/>
    <n v="-104.55"/>
    <n v="28.75"/>
    <n v="-3005.8125"/>
  </r>
  <r>
    <x v="1"/>
    <x v="1"/>
    <x v="1"/>
    <s v="RM"/>
    <s v="Fint L"/>
    <x v="4"/>
    <s v="C"/>
    <x v="4"/>
    <n v="-52.02"/>
    <n v="15"/>
    <n v="-780.30000000000007"/>
  </r>
  <r>
    <x v="2"/>
    <x v="0"/>
    <x v="0"/>
    <s v="RM"/>
    <s v="Fint L"/>
    <x v="4"/>
    <s v="C"/>
    <x v="4"/>
    <n v="-566.4"/>
    <n v="28"/>
    <n v="-15859.199999999999"/>
  </r>
  <r>
    <x v="2"/>
    <x v="6"/>
    <x v="6"/>
    <s v="SFG"/>
    <s v="Fint L"/>
    <x v="4"/>
    <s v="C"/>
    <x v="4"/>
    <n v="-164"/>
    <n v="28.75"/>
    <n v="-4715"/>
  </r>
  <r>
    <x v="2"/>
    <x v="1"/>
    <x v="1"/>
    <s v="RM"/>
    <s v="Fint L"/>
    <x v="4"/>
    <s v="C"/>
    <x v="4"/>
    <n v="-81.600000000000009"/>
    <n v="15"/>
    <n v="-1224.0000000000002"/>
  </r>
  <r>
    <x v="3"/>
    <x v="0"/>
    <x v="0"/>
    <s v="RM"/>
    <s v="Fint L"/>
    <x v="4"/>
    <s v="C"/>
    <x v="4"/>
    <n v="-495.59999999999997"/>
    <n v="31"/>
    <n v="-15363.599999999999"/>
  </r>
  <r>
    <x v="3"/>
    <x v="6"/>
    <x v="6"/>
    <s v="SFG"/>
    <s v="Fint L"/>
    <x v="4"/>
    <s v="C"/>
    <x v="4"/>
    <n v="-143.5"/>
    <n v="27.6"/>
    <n v="-3960.6000000000004"/>
  </r>
  <r>
    <x v="3"/>
    <x v="1"/>
    <x v="1"/>
    <s v="RM"/>
    <s v="Fint L"/>
    <x v="4"/>
    <s v="C"/>
    <x v="4"/>
    <n v="-71.399999999999991"/>
    <n v="16"/>
    <n v="-1142.3999999999999"/>
  </r>
  <r>
    <x v="1"/>
    <x v="0"/>
    <x v="0"/>
    <s v="RM"/>
    <s v="Fint L"/>
    <x v="4"/>
    <s v="M"/>
    <x v="2"/>
    <n v="361.08"/>
    <n v="28"/>
    <n v="10110.24"/>
  </r>
  <r>
    <x v="1"/>
    <x v="6"/>
    <x v="6"/>
    <s v="SFG"/>
    <s v="Fint L"/>
    <x v="4"/>
    <s v="M"/>
    <x v="2"/>
    <n v="104.55"/>
    <n v="28.75"/>
    <n v="3005.8125"/>
  </r>
  <r>
    <x v="1"/>
    <x v="1"/>
    <x v="1"/>
    <s v="RM"/>
    <s v="Fint L"/>
    <x v="4"/>
    <s v="M"/>
    <x v="2"/>
    <n v="52.02"/>
    <n v="15"/>
    <n v="780.30000000000007"/>
  </r>
  <r>
    <x v="2"/>
    <x v="0"/>
    <x v="0"/>
    <s v="RM"/>
    <s v="Fint L"/>
    <x v="4"/>
    <s v="M"/>
    <x v="2"/>
    <n v="566.4"/>
    <n v="28"/>
    <n v="15859.199999999999"/>
  </r>
  <r>
    <x v="2"/>
    <x v="6"/>
    <x v="6"/>
    <s v="SFG"/>
    <s v="Fint L"/>
    <x v="4"/>
    <s v="M"/>
    <x v="2"/>
    <n v="164"/>
    <n v="28.75"/>
    <n v="4715"/>
  </r>
  <r>
    <x v="2"/>
    <x v="1"/>
    <x v="1"/>
    <s v="RM"/>
    <s v="Fint L"/>
    <x v="4"/>
    <s v="M"/>
    <x v="2"/>
    <n v="81.600000000000009"/>
    <n v="15"/>
    <n v="1224.0000000000002"/>
  </r>
  <r>
    <x v="3"/>
    <x v="0"/>
    <x v="0"/>
    <s v="RM"/>
    <s v="Fint L"/>
    <x v="4"/>
    <s v="M"/>
    <x v="2"/>
    <n v="495.59999999999997"/>
    <n v="31"/>
    <n v="15363.599999999999"/>
  </r>
  <r>
    <x v="3"/>
    <x v="6"/>
    <x v="6"/>
    <s v="SFG"/>
    <s v="Fint L"/>
    <x v="4"/>
    <s v="M"/>
    <x v="2"/>
    <n v="143.5"/>
    <n v="27.6"/>
    <n v="3960.6000000000004"/>
  </r>
  <r>
    <x v="3"/>
    <x v="1"/>
    <x v="1"/>
    <s v="RM"/>
    <s v="Fint L"/>
    <x v="4"/>
    <s v="M"/>
    <x v="2"/>
    <n v="71.399999999999991"/>
    <n v="16"/>
    <n v="1142.3999999999999"/>
  </r>
  <r>
    <x v="1"/>
    <x v="0"/>
    <x v="0"/>
    <s v="RM"/>
    <s v="IN"/>
    <x v="0"/>
    <s v="M"/>
    <x v="2"/>
    <n v="-361.08"/>
    <n v="28"/>
    <n v="-10110.24"/>
  </r>
  <r>
    <x v="1"/>
    <x v="6"/>
    <x v="6"/>
    <s v="SFG"/>
    <s v="IN"/>
    <x v="0"/>
    <s v="M"/>
    <x v="2"/>
    <n v="-104.55"/>
    <n v="28.75"/>
    <n v="-3005.8125"/>
  </r>
  <r>
    <x v="1"/>
    <x v="1"/>
    <x v="1"/>
    <s v="RM"/>
    <s v="IN"/>
    <x v="0"/>
    <s v="M"/>
    <x v="2"/>
    <n v="-52.02"/>
    <n v="15"/>
    <n v="-780.30000000000007"/>
  </r>
  <r>
    <x v="2"/>
    <x v="0"/>
    <x v="0"/>
    <s v="RM"/>
    <s v="IN"/>
    <x v="0"/>
    <s v="M"/>
    <x v="2"/>
    <n v="-566.4"/>
    <n v="28"/>
    <n v="-15859.199999999999"/>
  </r>
  <r>
    <x v="2"/>
    <x v="6"/>
    <x v="6"/>
    <s v="SFG"/>
    <s v="IN"/>
    <x v="0"/>
    <s v="M"/>
    <x v="2"/>
    <n v="-164"/>
    <n v="28.75"/>
    <n v="-4715"/>
  </r>
  <r>
    <x v="2"/>
    <x v="1"/>
    <x v="1"/>
    <s v="RM"/>
    <s v="IN"/>
    <x v="0"/>
    <s v="M"/>
    <x v="2"/>
    <n v="-81.600000000000009"/>
    <n v="15"/>
    <n v="-1224.0000000000002"/>
  </r>
  <r>
    <x v="3"/>
    <x v="0"/>
    <x v="0"/>
    <s v="RM"/>
    <s v="IN"/>
    <x v="0"/>
    <s v="M"/>
    <x v="2"/>
    <n v="-495.59999999999997"/>
    <n v="31"/>
    <n v="-15363.599999999999"/>
  </r>
  <r>
    <x v="3"/>
    <x v="6"/>
    <x v="6"/>
    <s v="SFG"/>
    <s v="IN"/>
    <x v="0"/>
    <s v="M"/>
    <x v="2"/>
    <n v="-143.5"/>
    <n v="27.6"/>
    <n v="-3960.6000000000004"/>
  </r>
  <r>
    <x v="3"/>
    <x v="1"/>
    <x v="1"/>
    <s v="RM"/>
    <s v="IN"/>
    <x v="0"/>
    <s v="M"/>
    <x v="2"/>
    <n v="-71.399999999999991"/>
    <n v="16"/>
    <n v="-1142.3999999999999"/>
  </r>
  <r>
    <x v="1"/>
    <x v="2"/>
    <x v="2"/>
    <s v="RM"/>
    <s v="IN"/>
    <x v="0"/>
    <s v="M"/>
    <x v="2"/>
    <n v="-120.6925"/>
    <n v="25"/>
    <n v="-3017.3125"/>
  </r>
  <r>
    <x v="2"/>
    <x v="2"/>
    <x v="2"/>
    <s v="RM"/>
    <s v="IN"/>
    <x v="0"/>
    <s v="M"/>
    <x v="2"/>
    <n v="-235.8075"/>
    <n v="25"/>
    <n v="-5895.1875"/>
  </r>
  <r>
    <x v="3"/>
    <x v="2"/>
    <x v="2"/>
    <s v="RM"/>
    <s v="IN"/>
    <x v="0"/>
    <s v="M"/>
    <x v="2"/>
    <n v="-115"/>
    <n v="24"/>
    <n v="-2760"/>
  </r>
  <r>
    <x v="1"/>
    <x v="2"/>
    <x v="2"/>
    <s v="RM"/>
    <s v="NP"/>
    <x v="2"/>
    <s v="M"/>
    <x v="2"/>
    <n v="120.6925"/>
    <n v="25"/>
    <n v="3017.3125"/>
  </r>
  <r>
    <x v="2"/>
    <x v="2"/>
    <x v="2"/>
    <s v="RM"/>
    <s v="NP"/>
    <x v="2"/>
    <s v="M"/>
    <x v="2"/>
    <n v="235.8075"/>
    <n v="25"/>
    <n v="5895.1875"/>
  </r>
  <r>
    <x v="3"/>
    <x v="2"/>
    <x v="2"/>
    <s v="RM"/>
    <s v="NP"/>
    <x v="2"/>
    <s v="M"/>
    <x v="2"/>
    <n v="115"/>
    <n v="24"/>
    <n v="2760"/>
  </r>
  <r>
    <x v="1"/>
    <x v="2"/>
    <x v="2"/>
    <s v="RM"/>
    <s v="NP"/>
    <x v="2"/>
    <s v="C"/>
    <x v="4"/>
    <n v="-120.6925"/>
    <n v="25"/>
    <n v="-3017.3125"/>
  </r>
  <r>
    <x v="2"/>
    <x v="2"/>
    <x v="2"/>
    <s v="RM"/>
    <s v="NP"/>
    <x v="2"/>
    <s v="C"/>
    <x v="4"/>
    <n v="-235.8075"/>
    <n v="25"/>
    <n v="-5895.1875"/>
  </r>
  <r>
    <x v="3"/>
    <x v="2"/>
    <x v="2"/>
    <s v="RM"/>
    <s v="NP"/>
    <x v="2"/>
    <s v="C"/>
    <x v="4"/>
    <n v="-115"/>
    <n v="24"/>
    <n v="-2760"/>
  </r>
  <r>
    <x v="1"/>
    <x v="0"/>
    <x v="0"/>
    <s v="RM"/>
    <s v="Step L"/>
    <x v="5"/>
    <s v="C"/>
    <x v="4"/>
    <n v="-590"/>
    <n v="28"/>
    <n v="-16520"/>
  </r>
  <r>
    <x v="1"/>
    <x v="3"/>
    <x v="3"/>
    <s v="RM"/>
    <s v="Step L"/>
    <x v="5"/>
    <s v="C"/>
    <x v="4"/>
    <n v="-320"/>
    <n v="25"/>
    <n v="-8000"/>
  </r>
  <r>
    <x v="1"/>
    <x v="1"/>
    <x v="1"/>
    <s v="RM"/>
    <s v="Step L"/>
    <x v="5"/>
    <s v="C"/>
    <x v="4"/>
    <n v="-95"/>
    <n v="15"/>
    <n v="-1425"/>
  </r>
  <r>
    <x v="2"/>
    <x v="0"/>
    <x v="0"/>
    <s v="RM"/>
    <s v="Step L"/>
    <x v="5"/>
    <s v="C"/>
    <x v="4"/>
    <n v="-885"/>
    <n v="28"/>
    <n v="-24780"/>
  </r>
  <r>
    <x v="2"/>
    <x v="3"/>
    <x v="3"/>
    <s v="RM"/>
    <s v="Step L"/>
    <x v="5"/>
    <s v="C"/>
    <x v="4"/>
    <n v="-480"/>
    <n v="25"/>
    <n v="-12000"/>
  </r>
  <r>
    <x v="2"/>
    <x v="1"/>
    <x v="1"/>
    <s v="RM"/>
    <s v="Step L"/>
    <x v="5"/>
    <s v="C"/>
    <x v="4"/>
    <n v="-142.5"/>
    <n v="15"/>
    <n v="-2137.5"/>
  </r>
  <r>
    <x v="3"/>
    <x v="0"/>
    <x v="0"/>
    <s v="RM"/>
    <s v="Step L"/>
    <x v="5"/>
    <s v="C"/>
    <x v="4"/>
    <n v="-177"/>
    <n v="31"/>
    <n v="-5487"/>
  </r>
  <r>
    <x v="3"/>
    <x v="3"/>
    <x v="3"/>
    <s v="RM"/>
    <s v="Step L"/>
    <x v="5"/>
    <s v="C"/>
    <x v="4"/>
    <n v="-96"/>
    <n v="27"/>
    <n v="-2592"/>
  </r>
  <r>
    <x v="3"/>
    <x v="1"/>
    <x v="1"/>
    <s v="RM"/>
    <s v="Step L"/>
    <x v="5"/>
    <s v="C"/>
    <x v="4"/>
    <n v="-28.5"/>
    <n v="16"/>
    <n v="-456"/>
  </r>
  <r>
    <x v="2"/>
    <x v="1"/>
    <x v="1"/>
    <s v="RM"/>
    <s v="IN"/>
    <x v="0"/>
    <s v="I"/>
    <x v="5"/>
    <n v="-20"/>
    <n v="15"/>
    <n v="-300"/>
  </r>
  <r>
    <x v="2"/>
    <x v="2"/>
    <x v="2"/>
    <s v="RM"/>
    <s v="IN"/>
    <x v="0"/>
    <s v="I"/>
    <x v="5"/>
    <n v="-12"/>
    <n v="25"/>
    <n v="-300"/>
  </r>
  <r>
    <x v="1"/>
    <x v="2"/>
    <x v="2"/>
    <s v="RM"/>
    <s v="NP"/>
    <x v="2"/>
    <s v="W"/>
    <x v="6"/>
    <n v="-2"/>
    <n v="25"/>
    <n v="-50"/>
  </r>
  <r>
    <x v="2"/>
    <x v="2"/>
    <x v="2"/>
    <s v="RM"/>
    <s v="NP"/>
    <x v="2"/>
    <s v="W"/>
    <x v="6"/>
    <n v="-3"/>
    <n v="25"/>
    <n v="-75"/>
  </r>
  <r>
    <x v="3"/>
    <x v="2"/>
    <x v="2"/>
    <s v="RM"/>
    <s v="NP"/>
    <x v="2"/>
    <s v="W"/>
    <x v="6"/>
    <n v="-1"/>
    <n v="24"/>
    <n v="-24"/>
  </r>
  <r>
    <x v="1"/>
    <x v="0"/>
    <x v="0"/>
    <s v="RM"/>
    <s v="Fint L"/>
    <x v="4"/>
    <s v="W"/>
    <x v="6"/>
    <n v="4.0799999999999299"/>
    <n v="28"/>
    <n v="114.23999999999803"/>
  </r>
  <r>
    <x v="2"/>
    <x v="0"/>
    <x v="0"/>
    <s v="RM"/>
    <s v="Fint L"/>
    <x v="4"/>
    <s v="W"/>
    <x v="6"/>
    <n v="-2"/>
    <n v="28"/>
    <n v="-56"/>
  </r>
  <r>
    <x v="3"/>
    <x v="0"/>
    <x v="0"/>
    <s v="RM"/>
    <s v="Fint L"/>
    <x v="4"/>
    <s v="W"/>
    <x v="6"/>
    <n v="-4"/>
    <n v="31"/>
    <n v="-124"/>
  </r>
  <r>
    <x v="1"/>
    <x v="1"/>
    <x v="1"/>
    <s v="RM"/>
    <s v="Fint L"/>
    <x v="4"/>
    <s v="W"/>
    <x v="6"/>
    <n v="-3.98"/>
    <n v="15"/>
    <n v="-59.7"/>
  </r>
  <r>
    <x v="2"/>
    <x v="1"/>
    <x v="1"/>
    <s v="RM"/>
    <s v="Fint L"/>
    <x v="4"/>
    <s v="W"/>
    <x v="6"/>
    <n v="-1"/>
    <n v="15"/>
    <n v="-15"/>
  </r>
  <r>
    <x v="3"/>
    <x v="1"/>
    <x v="1"/>
    <s v="RM"/>
    <s v="Fint L"/>
    <x v="4"/>
    <s v="W"/>
    <x v="6"/>
    <n v="-2"/>
    <n v="16"/>
    <n v="-32"/>
  </r>
  <r>
    <x v="1"/>
    <x v="0"/>
    <x v="0"/>
    <s v="RM"/>
    <s v="Step L"/>
    <x v="5"/>
    <s v="W"/>
    <x v="6"/>
    <n v="-1"/>
    <n v="28"/>
    <n v="-28"/>
  </r>
  <r>
    <x v="2"/>
    <x v="0"/>
    <x v="0"/>
    <s v="RM"/>
    <s v="Step L"/>
    <x v="5"/>
    <s v="W"/>
    <x v="6"/>
    <n v="-1"/>
    <n v="28"/>
    <n v="-28"/>
  </r>
  <r>
    <x v="3"/>
    <x v="0"/>
    <x v="0"/>
    <s v="RM"/>
    <s v="Step L"/>
    <x v="5"/>
    <s v="W"/>
    <x v="6"/>
    <n v="-2"/>
    <n v="31"/>
    <n v="-62"/>
  </r>
  <r>
    <x v="1"/>
    <x v="3"/>
    <x v="3"/>
    <s v="RM"/>
    <s v="Step L"/>
    <x v="5"/>
    <s v="W"/>
    <x v="6"/>
    <n v="-20"/>
    <n v="25"/>
    <n v="-500"/>
  </r>
  <r>
    <x v="2"/>
    <x v="3"/>
    <x v="3"/>
    <s v="RM"/>
    <s v="Step L"/>
    <x v="5"/>
    <s v="W"/>
    <x v="6"/>
    <n v="-1"/>
    <n v="25"/>
    <n v="-25"/>
  </r>
  <r>
    <x v="3"/>
    <x v="3"/>
    <x v="3"/>
    <s v="RM"/>
    <s v="Step L"/>
    <x v="5"/>
    <s v="W"/>
    <x v="6"/>
    <n v="-2"/>
    <n v="27"/>
    <n v="-54"/>
  </r>
  <r>
    <x v="1"/>
    <x v="0"/>
    <x v="0"/>
    <s v="RM"/>
    <s v="IN"/>
    <x v="0"/>
    <s v="R"/>
    <x v="0"/>
    <n v="400"/>
    <n v="28"/>
    <n v="11200"/>
  </r>
  <r>
    <x v="1"/>
    <x v="1"/>
    <x v="1"/>
    <s v="RM"/>
    <s v="IN"/>
    <x v="0"/>
    <s v="R"/>
    <x v="0"/>
    <n v="200"/>
    <n v="15"/>
    <n v="3000"/>
  </r>
  <r>
    <x v="1"/>
    <x v="2"/>
    <x v="2"/>
    <s v="RM"/>
    <s v="IN"/>
    <x v="0"/>
    <s v="R"/>
    <x v="0"/>
    <n v="300"/>
    <n v="25"/>
    <n v="7500"/>
  </r>
  <r>
    <x v="1"/>
    <x v="3"/>
    <x v="3"/>
    <s v="RM"/>
    <s v="IN"/>
    <x v="0"/>
    <s v="R"/>
    <x v="0"/>
    <n v="500"/>
    <n v="25"/>
    <n v="12500"/>
  </r>
  <r>
    <x v="2"/>
    <x v="0"/>
    <x v="0"/>
    <s v="RM"/>
    <s v="IN"/>
    <x v="0"/>
    <s v="R"/>
    <x v="0"/>
    <n v="100"/>
    <n v="28"/>
    <n v="2800"/>
  </r>
  <r>
    <x v="2"/>
    <x v="1"/>
    <x v="1"/>
    <s v="RM"/>
    <s v="IN"/>
    <x v="0"/>
    <s v="R"/>
    <x v="0"/>
    <n v="50"/>
    <n v="15"/>
    <n v="750"/>
  </r>
  <r>
    <x v="2"/>
    <x v="2"/>
    <x v="2"/>
    <s v="RM"/>
    <s v="IN"/>
    <x v="0"/>
    <s v="R"/>
    <x v="0"/>
    <n v="50"/>
    <n v="25"/>
    <n v="1250"/>
  </r>
  <r>
    <x v="2"/>
    <x v="3"/>
    <x v="3"/>
    <s v="RM"/>
    <s v="IN"/>
    <x v="0"/>
    <s v="R"/>
    <x v="0"/>
    <n v="100"/>
    <n v="25"/>
    <n v="2500"/>
  </r>
  <r>
    <x v="3"/>
    <x v="0"/>
    <x v="0"/>
    <s v="RM"/>
    <s v="IN"/>
    <x v="0"/>
    <s v="R"/>
    <x v="0"/>
    <n v="100"/>
    <n v="31"/>
    <n v="3100"/>
  </r>
  <r>
    <x v="3"/>
    <x v="1"/>
    <x v="1"/>
    <s v="RM"/>
    <s v="IN"/>
    <x v="0"/>
    <s v="R"/>
    <x v="0"/>
    <n v="50"/>
    <n v="16"/>
    <n v="800"/>
  </r>
  <r>
    <x v="3"/>
    <x v="2"/>
    <x v="2"/>
    <s v="RM"/>
    <s v="IN"/>
    <x v="0"/>
    <s v="R"/>
    <x v="0"/>
    <n v="50"/>
    <n v="24"/>
    <n v="1200"/>
  </r>
  <r>
    <x v="3"/>
    <x v="3"/>
    <x v="3"/>
    <s v="RM"/>
    <s v="IN"/>
    <x v="0"/>
    <s v="R"/>
    <x v="0"/>
    <n v="89"/>
    <n v="27"/>
    <n v="2403"/>
  </r>
  <r>
    <x v="2"/>
    <x v="6"/>
    <x v="6"/>
    <s v="SFG"/>
    <s v="IN"/>
    <x v="0"/>
    <s v="I"/>
    <x v="5"/>
    <n v="-3"/>
    <n v="28.75"/>
    <n v="-86.25"/>
  </r>
  <r>
    <x v="2"/>
    <x v="4"/>
    <x v="4"/>
    <s v="FG"/>
    <s v="IN"/>
    <x v="0"/>
    <s v="I"/>
    <x v="5"/>
    <n v="-10"/>
    <n v="27.24775"/>
    <n v="-272.47750000000002"/>
  </r>
  <r>
    <x v="3"/>
    <x v="5"/>
    <x v="5"/>
    <s v="FG"/>
    <s v="OUT"/>
    <x v="3"/>
    <s v="W"/>
    <x v="6"/>
    <n v="-3"/>
    <n v="28.45"/>
    <n v="-85.35"/>
  </r>
  <r>
    <x v="4"/>
    <x v="7"/>
    <x v="7"/>
    <m/>
    <m/>
    <x v="6"/>
    <m/>
    <x v="7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5F98AA-FD24-4100-BFFE-F693845EC12A}" name="PivotTable2" cacheId="14" applyNumberFormats="0" applyBorderFormats="0" applyFontFormats="0" applyPatternFormats="0" applyAlignmentFormats="0" applyWidthHeightFormats="1" dataCaption="Values" updatedVersion="7" minRefreshableVersion="3" colGrandTotals="0" itemPrintTitles="1" createdVersion="6" indent="0" compact="0" compactData="0" gridDropZones="1" multipleFieldFilters="0">
  <location ref="A1:G65" firstHeaderRow="1" firstDataRow="2" firstDataCol="3"/>
  <pivotFields count="11">
    <pivotField axis="axisCol" compact="0" outline="0" showAll="0">
      <items count="6">
        <item x="0"/>
        <item x="1"/>
        <item x="2"/>
        <item x="3"/>
        <item h="1" x="4"/>
        <item t="default"/>
      </items>
    </pivotField>
    <pivotField compact="0" outline="0" showAll="0"/>
    <pivotField axis="axisRow" compact="0" outline="0" showAll="0">
      <items count="9">
        <item x="3"/>
        <item x="1"/>
        <item x="0"/>
        <item x="4"/>
        <item x="6"/>
        <item x="2"/>
        <item x="5"/>
        <item x="7"/>
        <item t="default"/>
      </items>
    </pivotField>
    <pivotField compact="0" outline="0" showAll="0"/>
    <pivotField compact="0" outline="0" showAll="0"/>
    <pivotField axis="axisRow" compact="0" outline="0" showAll="0">
      <items count="8">
        <item x="4"/>
        <item x="0"/>
        <item x="2"/>
        <item x="3"/>
        <item x="1"/>
        <item x="5"/>
        <item x="6"/>
        <item t="default"/>
      </items>
    </pivotField>
    <pivotField compact="0" outline="0" showAll="0"/>
    <pivotField axis="axisRow" compact="0" outline="0" showAll="0">
      <items count="10">
        <item x="4"/>
        <item x="3"/>
        <item x="1"/>
        <item x="2"/>
        <item x="5"/>
        <item x="0"/>
        <item m="1" x="8"/>
        <item x="6"/>
        <item x="7"/>
        <item t="default"/>
      </items>
    </pivotField>
    <pivotField compact="0" outline="0" showAll="0"/>
    <pivotField compact="0" outline="0" showAll="0"/>
    <pivotField dataField="1" compact="0" outline="0" showAll="0"/>
  </pivotFields>
  <rowFields count="3">
    <field x="5"/>
    <field x="7"/>
    <field x="2"/>
  </rowFields>
  <rowItems count="63">
    <i>
      <x/>
      <x/>
      <x v="1"/>
    </i>
    <i r="2">
      <x v="2"/>
    </i>
    <i r="2">
      <x v="4"/>
    </i>
    <i t="default" r="1">
      <x/>
    </i>
    <i r="1">
      <x v="3"/>
      <x v="1"/>
    </i>
    <i r="2">
      <x v="2"/>
    </i>
    <i r="2">
      <x v="4"/>
    </i>
    <i t="default" r="1">
      <x v="3"/>
    </i>
    <i r="1">
      <x v="7"/>
      <x v="1"/>
    </i>
    <i r="2">
      <x v="2"/>
    </i>
    <i t="default" r="1">
      <x v="7"/>
    </i>
    <i t="default">
      <x/>
    </i>
    <i>
      <x v="1"/>
      <x v="3"/>
      <x v="1"/>
    </i>
    <i r="2">
      <x v="2"/>
    </i>
    <i r="2">
      <x v="4"/>
    </i>
    <i r="2">
      <x v="5"/>
    </i>
    <i t="default" r="1">
      <x v="3"/>
    </i>
    <i r="1">
      <x v="4"/>
      <x v="1"/>
    </i>
    <i r="2">
      <x v="3"/>
    </i>
    <i r="2">
      <x v="4"/>
    </i>
    <i r="2">
      <x v="5"/>
    </i>
    <i t="default" r="1">
      <x v="4"/>
    </i>
    <i r="1">
      <x v="5"/>
      <x/>
    </i>
    <i r="2">
      <x v="1"/>
    </i>
    <i r="2">
      <x v="2"/>
    </i>
    <i r="2">
      <x v="5"/>
    </i>
    <i t="default" r="1">
      <x v="5"/>
    </i>
    <i t="default">
      <x v="1"/>
    </i>
    <i>
      <x v="2"/>
      <x/>
      <x v="5"/>
    </i>
    <i t="default" r="1">
      <x/>
    </i>
    <i r="1">
      <x v="2"/>
      <x v="4"/>
    </i>
    <i t="default" r="1">
      <x v="2"/>
    </i>
    <i r="1">
      <x v="3"/>
      <x v="4"/>
    </i>
    <i r="2">
      <x v="5"/>
    </i>
    <i t="default" r="1">
      <x v="3"/>
    </i>
    <i r="1">
      <x v="7"/>
      <x v="5"/>
    </i>
    <i t="default" r="1">
      <x v="7"/>
    </i>
    <i t="default">
      <x v="2"/>
    </i>
    <i>
      <x v="3"/>
      <x v="1"/>
      <x v="3"/>
    </i>
    <i r="2">
      <x v="6"/>
    </i>
    <i t="default" r="1">
      <x v="1"/>
    </i>
    <i r="1">
      <x v="3"/>
      <x v="3"/>
    </i>
    <i r="2">
      <x v="6"/>
    </i>
    <i t="default" r="1">
      <x v="3"/>
    </i>
    <i r="1">
      <x v="7"/>
      <x v="6"/>
    </i>
    <i t="default" r="1">
      <x v="7"/>
    </i>
    <i t="default">
      <x v="3"/>
    </i>
    <i>
      <x v="4"/>
      <x v="2"/>
      <x v="3"/>
    </i>
    <i r="2">
      <x v="6"/>
    </i>
    <i t="default" r="1">
      <x v="2"/>
    </i>
    <i r="1">
      <x v="3"/>
      <x v="3"/>
    </i>
    <i r="2">
      <x v="6"/>
    </i>
    <i t="default" r="1">
      <x v="3"/>
    </i>
    <i t="default">
      <x v="4"/>
    </i>
    <i>
      <x v="5"/>
      <x/>
      <x/>
    </i>
    <i r="2">
      <x v="1"/>
    </i>
    <i r="2">
      <x v="2"/>
    </i>
    <i t="default" r="1">
      <x/>
    </i>
    <i r="1">
      <x v="7"/>
      <x/>
    </i>
    <i r="2">
      <x v="2"/>
    </i>
    <i t="default" r="1">
      <x v="7"/>
    </i>
    <i t="default">
      <x v="5"/>
    </i>
    <i t="grand">
      <x/>
    </i>
  </rowItems>
  <colFields count="1">
    <field x="0"/>
  </colFields>
  <colItems count="4">
    <i>
      <x/>
    </i>
    <i>
      <x v="1"/>
    </i>
    <i>
      <x v="2"/>
    </i>
    <i>
      <x v="3"/>
    </i>
  </colItems>
  <dataFields count="1">
    <dataField name="Sum of Amount local currency" fld="10" baseField="5" baseItem="0" numFmtId="3"/>
  </dataFields>
  <formats count="4">
    <format dxfId="102">
      <pivotArea dataOnly="0" outline="0" fieldPosition="0">
        <references count="1">
          <reference field="5" count="0" defaultSubtotal="1"/>
        </references>
      </pivotArea>
    </format>
    <format dxfId="101">
      <pivotArea dataOnly="0" outline="0" fieldPosition="0">
        <references count="1">
          <reference field="7" count="0" defaultSubtotal="1"/>
        </references>
      </pivotArea>
    </format>
    <format dxfId="100">
      <pivotArea dataOnly="0" outline="0" fieldPosition="0">
        <references count="1">
          <reference field="5" count="0" defaultSubtotal="1"/>
        </references>
      </pivotArea>
    </format>
    <format dxfId="99">
      <pivotArea dataOnly="0" outline="0" fieldPosition="0">
        <references count="1">
          <reference field="7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FB71BA-3029-4FE4-B7FF-39771ECCCC72}" name="PivotTable2" cacheId="14" applyNumberFormats="0" applyBorderFormats="0" applyFontFormats="0" applyPatternFormats="0" applyAlignmentFormats="0" applyWidthHeightFormats="1" dataCaption="Values" updatedVersion="7" minRefreshableVersion="3" useAutoFormatting="1" colGrandTotals="0" itemPrintTitles="1" createdVersion="6" indent="0" compact="0" compactData="0" gridDropZones="1" multipleFieldFilters="0">
  <location ref="A3:E7" firstHeaderRow="1" firstDataRow="2" firstDataCol="2" rowPageCount="1" colPageCount="1"/>
  <pivotFields count="11">
    <pivotField axis="axisCol" compact="0" outline="0" showAll="0">
      <items count="6">
        <item x="0"/>
        <item x="1"/>
        <item x="2"/>
        <item x="3"/>
        <item x="4"/>
        <item t="default"/>
      </items>
    </pivotField>
    <pivotField axis="axisRow" compact="0" outline="0" showAll="0" defaultSubtotal="0">
      <items count="8">
        <item x="4"/>
        <item x="5"/>
        <item x="3"/>
        <item x="2"/>
        <item x="1"/>
        <item x="0"/>
        <item x="6"/>
        <item x="7"/>
      </items>
    </pivotField>
    <pivotField axis="axisRow" compact="0" outline="0" showAll="0">
      <items count="9">
        <item x="3"/>
        <item x="1"/>
        <item x="0"/>
        <item x="4"/>
        <item x="6"/>
        <item x="2"/>
        <item x="5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0">
        <item x="4"/>
        <item x="3"/>
        <item x="1"/>
        <item x="2"/>
        <item x="5"/>
        <item x="0"/>
        <item m="1" x="8"/>
        <item x="7"/>
        <item x="6"/>
        <item t="default"/>
      </items>
    </pivotField>
    <pivotField dataField="1" compact="0" outline="0" showAll="0"/>
    <pivotField compact="0" outline="0" showAll="0"/>
    <pivotField compact="0" outline="0" showAll="0"/>
  </pivotFields>
  <rowFields count="2">
    <field x="1"/>
    <field x="2"/>
  </rowFields>
  <rowItems count="3">
    <i>
      <x/>
      <x v="3"/>
    </i>
    <i>
      <x v="1"/>
      <x v="6"/>
    </i>
    <i t="grand">
      <x/>
    </i>
  </rowItems>
  <colFields count="1">
    <field x="0"/>
  </colFields>
  <colItems count="3">
    <i>
      <x v="1"/>
    </i>
    <i>
      <x v="2"/>
    </i>
    <i>
      <x v="3"/>
    </i>
  </colItems>
  <pageFields count="1">
    <pageField fld="7" item="1" hier="-1"/>
  </pageFields>
  <dataFields count="1">
    <dataField name="Sum of Quantity" fld="8" baseField="2" baseItem="5" numFmtId="3"/>
  </dataFields>
  <formats count="37">
    <format dxfId="98">
      <pivotArea dataOnly="0" labelOnly="1" outline="0" fieldPosition="0">
        <references count="1">
          <reference field="0" count="4">
            <x v="0"/>
            <x v="1"/>
            <x v="2"/>
            <x v="3"/>
          </reference>
        </references>
      </pivotArea>
    </format>
    <format dxfId="97">
      <pivotArea type="all" dataOnly="0" outline="0" fieldPosition="0"/>
    </format>
    <format dxfId="96">
      <pivotArea outline="0" collapsedLevelsAreSubtotals="1" fieldPosition="0"/>
    </format>
    <format dxfId="95">
      <pivotArea type="origin" dataOnly="0" labelOnly="1" outline="0" fieldPosition="0"/>
    </format>
    <format dxfId="94">
      <pivotArea field="0" type="button" dataOnly="0" labelOnly="1" outline="0" axis="axisCol" fieldPosition="0"/>
    </format>
    <format dxfId="93">
      <pivotArea type="topRight" dataOnly="0" labelOnly="1" outline="0" fieldPosition="0"/>
    </format>
    <format dxfId="92">
      <pivotArea field="1" type="button" dataOnly="0" labelOnly="1" outline="0" axis="axisRow" fieldPosition="0"/>
    </format>
    <format dxfId="91">
      <pivotArea field="2" type="button" dataOnly="0" labelOnly="1" outline="0" axis="axisRow" fieldPosition="1"/>
    </format>
    <format dxfId="90">
      <pivotArea dataOnly="0" labelOnly="1" outline="0" fieldPosition="0">
        <references count="1">
          <reference field="1" count="2">
            <x v="0"/>
            <x v="1"/>
          </reference>
        </references>
      </pivotArea>
    </format>
    <format dxfId="89">
      <pivotArea dataOnly="0" labelOnly="1" grandRow="1" outline="0" fieldPosition="0"/>
    </format>
    <format dxfId="88">
      <pivotArea dataOnly="0" labelOnly="1" outline="0" fieldPosition="0">
        <references count="2">
          <reference field="1" count="1" selected="0">
            <x v="0"/>
          </reference>
          <reference field="2" count="1">
            <x v="3"/>
          </reference>
        </references>
      </pivotArea>
    </format>
    <format dxfId="87">
      <pivotArea dataOnly="0" labelOnly="1" outline="0" fieldPosition="0">
        <references count="2">
          <reference field="1" count="1" selected="0">
            <x v="1"/>
          </reference>
          <reference field="2" count="1">
            <x v="6"/>
          </reference>
        </references>
      </pivotArea>
    </format>
    <format dxfId="86">
      <pivotArea dataOnly="0" labelOnly="1" outline="0" fieldPosition="0">
        <references count="1">
          <reference field="0" count="3">
            <x v="1"/>
            <x v="2"/>
            <x v="3"/>
          </reference>
        </references>
      </pivotArea>
    </format>
    <format dxfId="85">
      <pivotArea type="all" dataOnly="0" outline="0" fieldPosition="0"/>
    </format>
    <format dxfId="84">
      <pivotArea outline="0" collapsedLevelsAreSubtotals="1" fieldPosition="0"/>
    </format>
    <format dxfId="83">
      <pivotArea type="origin" dataOnly="0" labelOnly="1" outline="0" fieldPosition="0"/>
    </format>
    <format dxfId="82">
      <pivotArea field="0" type="button" dataOnly="0" labelOnly="1" outline="0" axis="axisCol" fieldPosition="0"/>
    </format>
    <format dxfId="81">
      <pivotArea type="topRight" dataOnly="0" labelOnly="1" outline="0" fieldPosition="0"/>
    </format>
    <format dxfId="80">
      <pivotArea field="1" type="button" dataOnly="0" labelOnly="1" outline="0" axis="axisRow" fieldPosition="0"/>
    </format>
    <format dxfId="79">
      <pivotArea field="2" type="button" dataOnly="0" labelOnly="1" outline="0" axis="axisRow" fieldPosition="1"/>
    </format>
    <format dxfId="78">
      <pivotArea dataOnly="0" labelOnly="1" outline="0" fieldPosition="0">
        <references count="1">
          <reference field="1" count="2">
            <x v="0"/>
            <x v="1"/>
          </reference>
        </references>
      </pivotArea>
    </format>
    <format dxfId="77">
      <pivotArea dataOnly="0" labelOnly="1" grandRow="1" outline="0" fieldPosition="0"/>
    </format>
    <format dxfId="76">
      <pivotArea dataOnly="0" labelOnly="1" outline="0" fieldPosition="0">
        <references count="2">
          <reference field="1" count="1" selected="0">
            <x v="0"/>
          </reference>
          <reference field="2" count="1">
            <x v="3"/>
          </reference>
        </references>
      </pivotArea>
    </format>
    <format dxfId="75">
      <pivotArea dataOnly="0" labelOnly="1" outline="0" fieldPosition="0">
        <references count="2">
          <reference field="1" count="1" selected="0">
            <x v="1"/>
          </reference>
          <reference field="2" count="1">
            <x v="6"/>
          </reference>
        </references>
      </pivotArea>
    </format>
    <format dxfId="74">
      <pivotArea dataOnly="0" labelOnly="1" outline="0" fieldPosition="0">
        <references count="1">
          <reference field="0" count="3">
            <x v="1"/>
            <x v="2"/>
            <x v="3"/>
          </reference>
        </references>
      </pivotArea>
    </format>
    <format dxfId="73">
      <pivotArea type="all" dataOnly="0" outline="0" fieldPosition="0"/>
    </format>
    <format dxfId="72">
      <pivotArea outline="0" collapsedLevelsAreSubtotals="1" fieldPosition="0"/>
    </format>
    <format dxfId="71">
      <pivotArea type="origin" dataOnly="0" labelOnly="1" outline="0" fieldPosition="0"/>
    </format>
    <format dxfId="70">
      <pivotArea field="0" type="button" dataOnly="0" labelOnly="1" outline="0" axis="axisCol" fieldPosition="0"/>
    </format>
    <format dxfId="69">
      <pivotArea type="topRight" dataOnly="0" labelOnly="1" outline="0" fieldPosition="0"/>
    </format>
    <format dxfId="68">
      <pivotArea field="1" type="button" dataOnly="0" labelOnly="1" outline="0" axis="axisRow" fieldPosition="0"/>
    </format>
    <format dxfId="67">
      <pivotArea field="2" type="button" dataOnly="0" labelOnly="1" outline="0" axis="axisRow" fieldPosition="1"/>
    </format>
    <format dxfId="66">
      <pivotArea dataOnly="0" labelOnly="1" outline="0" fieldPosition="0">
        <references count="1">
          <reference field="1" count="2">
            <x v="0"/>
            <x v="1"/>
          </reference>
        </references>
      </pivotArea>
    </format>
    <format dxfId="65">
      <pivotArea dataOnly="0" labelOnly="1" grandRow="1" outline="0" fieldPosition="0"/>
    </format>
    <format dxfId="64">
      <pivotArea dataOnly="0" labelOnly="1" outline="0" fieldPosition="0">
        <references count="2">
          <reference field="1" count="1" selected="0">
            <x v="0"/>
          </reference>
          <reference field="2" count="1">
            <x v="3"/>
          </reference>
        </references>
      </pivotArea>
    </format>
    <format dxfId="63">
      <pivotArea dataOnly="0" labelOnly="1" outline="0" fieldPosition="0">
        <references count="2">
          <reference field="1" count="1" selected="0">
            <x v="1"/>
          </reference>
          <reference field="2" count="1">
            <x v="6"/>
          </reference>
        </references>
      </pivotArea>
    </format>
    <format dxfId="62">
      <pivotArea dataOnly="0" labelOnly="1" outline="0" fieldPosition="0">
        <references count="1">
          <reference field="0" count="3"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506839-F9D2-4B76-A2F7-40EF60CE8E6B}" name="PivotTable1" cacheId="14" applyNumberFormats="0" applyBorderFormats="0" applyFontFormats="0" applyPatternFormats="0" applyAlignmentFormats="0" applyWidthHeightFormats="1" dataCaption="Values" updatedVersion="7" minRefreshableVersion="3" useAutoFormatting="1" colGrandTotals="0" itemPrintTitles="1" createdVersion="6" indent="0" compact="0" compactData="0" gridDropZones="1" multipleFieldFilters="0">
  <location ref="A3:F9" firstHeaderRow="1" firstDataRow="2" firstDataCol="2" rowPageCount="1" colPageCount="1"/>
  <pivotFields count="11">
    <pivotField axis="axisCol" compact="0" outline="0" showAll="0">
      <items count="6">
        <item x="0"/>
        <item x="1"/>
        <item x="2"/>
        <item x="3"/>
        <item x="4"/>
        <item t="default"/>
      </items>
    </pivotField>
    <pivotField axis="axisRow" compact="0" outline="0" showAll="0" defaultSubtotal="0">
      <items count="8">
        <item x="4"/>
        <item x="5"/>
        <item x="3"/>
        <item x="2"/>
        <item x="1"/>
        <item x="0"/>
        <item x="6"/>
        <item x="7"/>
      </items>
    </pivotField>
    <pivotField axis="axisRow" compact="0" outline="0" showAll="0">
      <items count="9">
        <item x="3"/>
        <item x="1"/>
        <item x="0"/>
        <item x="4"/>
        <item x="6"/>
        <item x="2"/>
        <item x="5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0">
        <item x="4"/>
        <item x="3"/>
        <item x="1"/>
        <item x="2"/>
        <item x="5"/>
        <item x="0"/>
        <item m="1" x="8"/>
        <item x="7"/>
        <item x="6"/>
        <item t="default"/>
      </items>
    </pivotField>
    <pivotField dataField="1" compact="0" outline="0" showAll="0"/>
    <pivotField compact="0" outline="0" showAll="0"/>
    <pivotField compact="0" outline="0" showAll="0"/>
  </pivotFields>
  <rowFields count="2">
    <field x="1"/>
    <field x="2"/>
  </rowFields>
  <rowItems count="5">
    <i>
      <x v="2"/>
      <x/>
    </i>
    <i>
      <x v="3"/>
      <x v="5"/>
    </i>
    <i>
      <x v="4"/>
      <x v="1"/>
    </i>
    <i>
      <x v="5"/>
      <x v="2"/>
    </i>
    <i t="grand">
      <x/>
    </i>
  </rowItems>
  <colFields count="1">
    <field x="0"/>
  </colFields>
  <colItems count="4">
    <i>
      <x/>
    </i>
    <i>
      <x v="1"/>
    </i>
    <i>
      <x v="2"/>
    </i>
    <i>
      <x v="3"/>
    </i>
  </colItems>
  <pageFields count="1">
    <pageField fld="7" item="5" hier="-1"/>
  </pageFields>
  <dataFields count="1">
    <dataField name="Sum of Quantity" fld="8" baseField="2" baseItem="5" numFmtId="3"/>
  </dataFields>
  <formats count="62">
    <format dxfId="61">
      <pivotArea outline="0" fieldPosition="0">
        <references count="2">
          <reference field="1" count="4" selected="0">
            <x v="2"/>
            <x v="3"/>
            <x v="4"/>
            <x v="5"/>
          </reference>
          <reference field="2" count="4" selected="0">
            <x v="0"/>
            <x v="1"/>
            <x v="2"/>
            <x v="5"/>
          </reference>
        </references>
      </pivotArea>
    </format>
    <format dxfId="60">
      <pivotArea dataOnly="0" labelOnly="1" outline="0" fieldPosition="0">
        <references count="1">
          <reference field="1" count="4">
            <x v="2"/>
            <x v="3"/>
            <x v="4"/>
            <x v="5"/>
          </reference>
        </references>
      </pivotArea>
    </format>
    <format dxfId="59">
      <pivotArea dataOnly="0" labelOnly="1" outline="0" fieldPosition="0">
        <references count="2">
          <reference field="1" count="1" selected="0">
            <x v="2"/>
          </reference>
          <reference field="2" count="1">
            <x v="0"/>
          </reference>
        </references>
      </pivotArea>
    </format>
    <format dxfId="58">
      <pivotArea dataOnly="0" labelOnly="1" outline="0" fieldPosition="0">
        <references count="2">
          <reference field="1" count="1" selected="0">
            <x v="3"/>
          </reference>
          <reference field="2" count="1">
            <x v="5"/>
          </reference>
        </references>
      </pivotArea>
    </format>
    <format dxfId="57">
      <pivotArea dataOnly="0" labelOnly="1" outline="0" fieldPosition="0">
        <references count="2">
          <reference field="1" count="1" selected="0">
            <x v="4"/>
          </reference>
          <reference field="2" count="1">
            <x v="1"/>
          </reference>
        </references>
      </pivotArea>
    </format>
    <format dxfId="56">
      <pivotArea dataOnly="0" labelOnly="1" outline="0" fieldPosition="0">
        <references count="2">
          <reference field="1" count="1" selected="0">
            <x v="5"/>
          </reference>
          <reference field="2" count="1">
            <x v="2"/>
          </reference>
        </references>
      </pivotArea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type="origin" dataOnly="0" labelOnly="1" outline="0" fieldPosition="0"/>
    </format>
    <format dxfId="52">
      <pivotArea field="0" type="button" dataOnly="0" labelOnly="1" outline="0" axis="axisCol" fieldPosition="0"/>
    </format>
    <format dxfId="51">
      <pivotArea type="topRight" dataOnly="0" labelOnly="1" outline="0" fieldPosition="0"/>
    </format>
    <format dxfId="50">
      <pivotArea field="1" type="button" dataOnly="0" labelOnly="1" outline="0" axis="axisRow" fieldPosition="0"/>
    </format>
    <format dxfId="49">
      <pivotArea field="2" type="button" dataOnly="0" labelOnly="1" outline="0" axis="axisRow" fieldPosition="1"/>
    </format>
    <format dxfId="48">
      <pivotArea dataOnly="0" labelOnly="1" outline="0" fieldPosition="0">
        <references count="1">
          <reference field="1" count="4">
            <x v="2"/>
            <x v="3"/>
            <x v="4"/>
            <x v="5"/>
          </reference>
        </references>
      </pivotArea>
    </format>
    <format dxfId="47">
      <pivotArea dataOnly="0" labelOnly="1" grandRow="1" outline="0" fieldPosition="0"/>
    </format>
    <format dxfId="46">
      <pivotArea dataOnly="0" labelOnly="1" outline="0" fieldPosition="0">
        <references count="2">
          <reference field="1" count="1" selected="0">
            <x v="2"/>
          </reference>
          <reference field="2" count="1">
            <x v="0"/>
          </reference>
        </references>
      </pivotArea>
    </format>
    <format dxfId="45">
      <pivotArea dataOnly="0" labelOnly="1" outline="0" fieldPosition="0">
        <references count="2">
          <reference field="1" count="1" selected="0">
            <x v="3"/>
          </reference>
          <reference field="2" count="1">
            <x v="5"/>
          </reference>
        </references>
      </pivotArea>
    </format>
    <format dxfId="44">
      <pivotArea dataOnly="0" labelOnly="1" outline="0" fieldPosition="0">
        <references count="2">
          <reference field="1" count="1" selected="0">
            <x v="4"/>
          </reference>
          <reference field="2" count="1">
            <x v="1"/>
          </reference>
        </references>
      </pivotArea>
    </format>
    <format dxfId="43">
      <pivotArea dataOnly="0" labelOnly="1" outline="0" fieldPosition="0">
        <references count="2">
          <reference field="1" count="1" selected="0">
            <x v="5"/>
          </reference>
          <reference field="2" count="1">
            <x v="2"/>
          </reference>
        </references>
      </pivotArea>
    </format>
    <format dxfId="42">
      <pivotArea dataOnly="0" labelOnly="1" outline="0" fieldPosition="0">
        <references count="1">
          <reference field="0" count="4">
            <x v="0"/>
            <x v="1"/>
            <x v="2"/>
            <x v="3"/>
          </reference>
        </references>
      </pivotArea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type="origin" dataOnly="0" labelOnly="1" outline="0" fieldPosition="0"/>
    </format>
    <format dxfId="38">
      <pivotArea field="0" type="button" dataOnly="0" labelOnly="1" outline="0" axis="axisCol" fieldPosition="0"/>
    </format>
    <format dxfId="37">
      <pivotArea type="topRight" dataOnly="0" labelOnly="1" outline="0" fieldPosition="0"/>
    </format>
    <format dxfId="36">
      <pivotArea field="1" type="button" dataOnly="0" labelOnly="1" outline="0" axis="axisRow" fieldPosition="0"/>
    </format>
    <format dxfId="35">
      <pivotArea field="2" type="button" dataOnly="0" labelOnly="1" outline="0" axis="axisRow" fieldPosition="1"/>
    </format>
    <format dxfId="34">
      <pivotArea dataOnly="0" labelOnly="1" outline="0" fieldPosition="0">
        <references count="1">
          <reference field="1" count="4">
            <x v="2"/>
            <x v="3"/>
            <x v="4"/>
            <x v="5"/>
          </reference>
        </references>
      </pivotArea>
    </format>
    <format dxfId="33">
      <pivotArea dataOnly="0" labelOnly="1" grandRow="1" outline="0" fieldPosition="0"/>
    </format>
    <format dxfId="32">
      <pivotArea dataOnly="0" labelOnly="1" outline="0" fieldPosition="0">
        <references count="2">
          <reference field="1" count="1" selected="0">
            <x v="2"/>
          </reference>
          <reference field="2" count="1">
            <x v="0"/>
          </reference>
        </references>
      </pivotArea>
    </format>
    <format dxfId="31">
      <pivotArea dataOnly="0" labelOnly="1" outline="0" fieldPosition="0">
        <references count="2">
          <reference field="1" count="1" selected="0">
            <x v="3"/>
          </reference>
          <reference field="2" count="1">
            <x v="5"/>
          </reference>
        </references>
      </pivotArea>
    </format>
    <format dxfId="30">
      <pivotArea dataOnly="0" labelOnly="1" outline="0" fieldPosition="0">
        <references count="2">
          <reference field="1" count="1" selected="0">
            <x v="4"/>
          </reference>
          <reference field="2" count="1">
            <x v="1"/>
          </reference>
        </references>
      </pivotArea>
    </format>
    <format dxfId="29">
      <pivotArea dataOnly="0" labelOnly="1" outline="0" fieldPosition="0">
        <references count="2">
          <reference field="1" count="1" selected="0">
            <x v="5"/>
          </reference>
          <reference field="2" count="1">
            <x v="2"/>
          </reference>
        </references>
      </pivotArea>
    </format>
    <format dxfId="28">
      <pivotArea dataOnly="0" labelOnly="1" outline="0" fieldPosition="0">
        <references count="1">
          <reference field="0" count="4">
            <x v="0"/>
            <x v="1"/>
            <x v="2"/>
            <x v="3"/>
          </reference>
        </references>
      </pivotArea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type="origin" dataOnly="0" labelOnly="1" outline="0" fieldPosition="0"/>
    </format>
    <format dxfId="24">
      <pivotArea field="0" type="button" dataOnly="0" labelOnly="1" outline="0" axis="axisCol" fieldPosition="0"/>
    </format>
    <format dxfId="23">
      <pivotArea type="topRight" dataOnly="0" labelOnly="1" outline="0" fieldPosition="0"/>
    </format>
    <format dxfId="22">
      <pivotArea field="1" type="button" dataOnly="0" labelOnly="1" outline="0" axis="axisRow" fieldPosition="0"/>
    </format>
    <format dxfId="21">
      <pivotArea field="2" type="button" dataOnly="0" labelOnly="1" outline="0" axis="axisRow" fieldPosition="1"/>
    </format>
    <format dxfId="20">
      <pivotArea dataOnly="0" labelOnly="1" outline="0" fieldPosition="0">
        <references count="1">
          <reference field="1" count="4">
            <x v="2"/>
            <x v="3"/>
            <x v="4"/>
            <x v="5"/>
          </reference>
        </references>
      </pivotArea>
    </format>
    <format dxfId="19">
      <pivotArea dataOnly="0" labelOnly="1" grandRow="1" outline="0" fieldPosition="0"/>
    </format>
    <format dxfId="18">
      <pivotArea dataOnly="0" labelOnly="1" outline="0" fieldPosition="0">
        <references count="2">
          <reference field="1" count="1" selected="0">
            <x v="2"/>
          </reference>
          <reference field="2" count="1">
            <x v="0"/>
          </reference>
        </references>
      </pivotArea>
    </format>
    <format dxfId="17">
      <pivotArea dataOnly="0" labelOnly="1" outline="0" fieldPosition="0">
        <references count="2">
          <reference field="1" count="1" selected="0">
            <x v="3"/>
          </reference>
          <reference field="2" count="1">
            <x v="5"/>
          </reference>
        </references>
      </pivotArea>
    </format>
    <format dxfId="16">
      <pivotArea dataOnly="0" labelOnly="1" outline="0" fieldPosition="0">
        <references count="2">
          <reference field="1" count="1" selected="0">
            <x v="4"/>
          </reference>
          <reference field="2" count="1">
            <x v="1"/>
          </reference>
        </references>
      </pivotArea>
    </format>
    <format dxfId="15">
      <pivotArea dataOnly="0" labelOnly="1" outline="0" fieldPosition="0">
        <references count="2">
          <reference field="1" count="1" selected="0">
            <x v="5"/>
          </reference>
          <reference field="2" count="1">
            <x v="2"/>
          </reference>
        </references>
      </pivotArea>
    </format>
    <format dxfId="14">
      <pivotArea dataOnly="0" labelOnly="1" outline="0" fieldPosition="0">
        <references count="1">
          <reference field="0" count="4">
            <x v="0"/>
            <x v="1"/>
            <x v="2"/>
            <x v="3"/>
          </reference>
        </references>
      </pivotArea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type="origin" dataOnly="0" labelOnly="1" outline="0" fieldPosition="0"/>
    </format>
    <format dxfId="10">
      <pivotArea field="0" type="button" dataOnly="0" labelOnly="1" outline="0" axis="axisCol" fieldPosition="0"/>
    </format>
    <format dxfId="9">
      <pivotArea type="topRight" dataOnly="0" labelOnly="1" outline="0" fieldPosition="0"/>
    </format>
    <format dxfId="8">
      <pivotArea field="1" type="button" dataOnly="0" labelOnly="1" outline="0" axis="axisRow" fieldPosition="0"/>
    </format>
    <format dxfId="7">
      <pivotArea field="2" type="button" dataOnly="0" labelOnly="1" outline="0" axis="axisRow" fieldPosition="1"/>
    </format>
    <format dxfId="6">
      <pivotArea dataOnly="0" labelOnly="1" outline="0" fieldPosition="0">
        <references count="1">
          <reference field="1" count="4">
            <x v="2"/>
            <x v="3"/>
            <x v="4"/>
            <x v="5"/>
          </reference>
        </references>
      </pivotArea>
    </format>
    <format dxfId="5">
      <pivotArea dataOnly="0" labelOnly="1" grandRow="1" outline="0" fieldPosition="0"/>
    </format>
    <format dxfId="4">
      <pivotArea dataOnly="0" labelOnly="1" outline="0" fieldPosition="0">
        <references count="2">
          <reference field="1" count="1" selected="0">
            <x v="2"/>
          </reference>
          <reference field="2" count="1">
            <x v="0"/>
          </reference>
        </references>
      </pivotArea>
    </format>
    <format dxfId="3">
      <pivotArea dataOnly="0" labelOnly="1" outline="0" fieldPosition="0">
        <references count="2">
          <reference field="1" count="1" selected="0">
            <x v="3"/>
          </reference>
          <reference field="2" count="1">
            <x v="5"/>
          </reference>
        </references>
      </pivotArea>
    </format>
    <format dxfId="2">
      <pivotArea dataOnly="0" labelOnly="1" outline="0" fieldPosition="0">
        <references count="2">
          <reference field="1" count="1" selected="0">
            <x v="4"/>
          </reference>
          <reference field="2" count="1">
            <x v="1"/>
          </reference>
        </references>
      </pivotArea>
    </format>
    <format dxfId="1">
      <pivotArea dataOnly="0" labelOnly="1" outline="0" fieldPosition="0">
        <references count="2">
          <reference field="1" count="1" selected="0">
            <x v="5"/>
          </reference>
          <reference field="2" count="1">
            <x v="2"/>
          </reference>
        </references>
      </pivotArea>
    </format>
    <format dxfId="0">
      <pivotArea dataOnly="0" labelOnly="1" outline="0" fieldPosition="0">
        <references count="1">
          <reference field="0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34998626667073579"/>
  </sheetPr>
  <dimension ref="A1:K36"/>
  <sheetViews>
    <sheetView tabSelected="1" zoomScale="115" zoomScaleNormal="115" workbookViewId="0">
      <pane ySplit="2" topLeftCell="A3" activePane="bottomLeft" state="frozen"/>
      <selection activeCell="M36" sqref="M36"/>
      <selection pane="bottomLeft" activeCell="G21" sqref="G21"/>
    </sheetView>
  </sheetViews>
  <sheetFormatPr defaultColWidth="9.109375" defaultRowHeight="14.4" outlineLevelRow="1" x14ac:dyDescent="0.3"/>
  <cols>
    <col min="1" max="1" width="3.44140625" style="2" customWidth="1"/>
    <col min="2" max="2" width="9.109375" style="2"/>
    <col min="3" max="3" width="22.6640625" style="2" customWidth="1"/>
    <col min="4" max="7" width="12.6640625" style="2" customWidth="1"/>
    <col min="8" max="8" width="13" style="2" customWidth="1"/>
    <col min="9" max="9" width="7.33203125" style="2" bestFit="1" customWidth="1"/>
    <col min="10" max="10" width="9.109375" style="2"/>
    <col min="11" max="11" width="8.109375" style="2" customWidth="1"/>
    <col min="12" max="16384" width="9.109375" style="2"/>
  </cols>
  <sheetData>
    <row r="1" spans="1:11" s="113" customFormat="1" x14ac:dyDescent="0.3">
      <c r="D1" s="147">
        <v>2022</v>
      </c>
      <c r="E1" s="147">
        <v>2022</v>
      </c>
      <c r="F1" s="147">
        <v>2022</v>
      </c>
      <c r="G1" s="147">
        <v>2023</v>
      </c>
      <c r="H1" s="221" t="s">
        <v>162</v>
      </c>
    </row>
    <row r="2" spans="1:11" s="113" customFormat="1" x14ac:dyDescent="0.3">
      <c r="D2" s="147" t="s">
        <v>77</v>
      </c>
      <c r="E2" s="147" t="s">
        <v>81</v>
      </c>
      <c r="F2" s="147" t="s">
        <v>82</v>
      </c>
      <c r="G2" s="147" t="s">
        <v>83</v>
      </c>
      <c r="H2" s="221"/>
      <c r="K2" s="146"/>
    </row>
    <row r="3" spans="1:11" s="113" customFormat="1" x14ac:dyDescent="0.3">
      <c r="B3" s="113" t="s">
        <v>3</v>
      </c>
      <c r="C3" s="113" t="s">
        <v>165</v>
      </c>
      <c r="D3" s="156">
        <f>-'Purchases &amp; PPV'!C17</f>
        <v>-80425.5</v>
      </c>
      <c r="E3" s="156">
        <f>-'Purchases &amp; PPV'!D17</f>
        <v>-34200</v>
      </c>
      <c r="F3" s="156">
        <f>-'Purchases &amp; PPV'!E17</f>
        <v>-7300</v>
      </c>
      <c r="G3" s="156">
        <f>-'Purchases &amp; PPV'!F17</f>
        <v>-7503</v>
      </c>
      <c r="H3" s="190">
        <f>SUM(D3:G3)</f>
        <v>-129428.5</v>
      </c>
    </row>
    <row r="4" spans="1:11" s="113" customFormat="1" x14ac:dyDescent="0.3">
      <c r="B4" s="113" t="s">
        <v>3</v>
      </c>
      <c r="C4" s="113" t="s">
        <v>0</v>
      </c>
      <c r="D4" s="156">
        <f>-'Purchases &amp; PPV'!C24</f>
        <v>-5422</v>
      </c>
      <c r="E4" s="156">
        <f>-'Purchases &amp; PPV'!D24</f>
        <v>-1700</v>
      </c>
      <c r="F4" s="156">
        <f>-'Purchases &amp; PPV'!E24</f>
        <v>-650</v>
      </c>
      <c r="G4" s="156">
        <f>-'Purchases &amp; PPV'!F24</f>
        <v>183</v>
      </c>
      <c r="H4" s="190">
        <f t="shared" ref="H4:H30" si="0">SUM(D4:G4)</f>
        <v>-7589</v>
      </c>
    </row>
    <row r="5" spans="1:11" s="113" customFormat="1" x14ac:dyDescent="0.3">
      <c r="B5" s="113" t="s">
        <v>3</v>
      </c>
      <c r="C5" s="113" t="s">
        <v>80</v>
      </c>
      <c r="D5" s="156">
        <f>'Purchases &amp; PPV'!C17</f>
        <v>80425.5</v>
      </c>
      <c r="E5" s="156">
        <f>'Purchases &amp; PPV'!D17</f>
        <v>34200</v>
      </c>
      <c r="F5" s="156">
        <f>'Purchases &amp; PPV'!E17</f>
        <v>7300</v>
      </c>
      <c r="G5" s="156">
        <f>'Purchases &amp; PPV'!F17</f>
        <v>7503</v>
      </c>
      <c r="H5" s="190">
        <f t="shared" si="0"/>
        <v>129428.5</v>
      </c>
    </row>
    <row r="6" spans="1:11" s="113" customFormat="1" x14ac:dyDescent="0.3">
      <c r="A6" s="113" t="s">
        <v>44</v>
      </c>
      <c r="B6" s="113" t="s">
        <v>3</v>
      </c>
      <c r="C6" s="113" t="s">
        <v>164</v>
      </c>
      <c r="D6" s="156">
        <f>SUMIFS(Movements!$K:$K,Movements!$A:$A,D$2,Movements!$G:$G,$A6,Movements!$D:$D,'P&amp;L'!$B6)</f>
        <v>0</v>
      </c>
      <c r="E6" s="156">
        <f>SUMIFS(Movements!$K:$K,Movements!$A:$A,E$2,Movements!$G:$G,$A6,Movements!$D:$D,'P&amp;L'!$B6)</f>
        <v>-39852.852500000001</v>
      </c>
      <c r="F6" s="156">
        <f>SUMIFS(Movements!$K:$K,Movements!$A:$A,F$2,Movements!$G:$G,$A6,Movements!$D:$D,'P&amp;L'!$B6)</f>
        <v>-61895.887499999997</v>
      </c>
      <c r="G6" s="156">
        <f>SUMIFS(Movements!$K:$K,Movements!$A:$A,G$2,Movements!$G:$G,$A6,Movements!$D:$D,'P&amp;L'!$B6)</f>
        <v>-27801</v>
      </c>
      <c r="H6" s="190">
        <f t="shared" si="0"/>
        <v>-129549.73999999999</v>
      </c>
    </row>
    <row r="7" spans="1:11" hidden="1" outlineLevel="1" x14ac:dyDescent="0.3">
      <c r="B7" s="7"/>
      <c r="C7" s="79" t="s">
        <v>117</v>
      </c>
      <c r="D7" s="80">
        <f>-'Formulation &amp; overusage'!D106</f>
        <v>0</v>
      </c>
      <c r="E7" s="80">
        <f>-'Formulation &amp; overusage'!E106</f>
        <v>-39998.04</v>
      </c>
      <c r="F7" s="80">
        <f>-'Formulation &amp; overusage'!F106</f>
        <v>-61895.887499999997</v>
      </c>
      <c r="G7" s="80">
        <f>-'Formulation &amp; overusage'!G106</f>
        <v>-27940.249999999996</v>
      </c>
      <c r="H7" s="6"/>
    </row>
    <row r="8" spans="1:11" hidden="1" outlineLevel="1" x14ac:dyDescent="0.3">
      <c r="B8" s="7"/>
      <c r="C8" s="79" t="s">
        <v>1</v>
      </c>
      <c r="D8" s="80">
        <f>-'Formulation &amp; overusage'!D103</f>
        <v>0</v>
      </c>
      <c r="E8" s="80">
        <f>-'Formulation &amp; overusage'!E103</f>
        <v>180.37749999999903</v>
      </c>
      <c r="F8" s="80">
        <f>-'Formulation &amp; overusage'!F103</f>
        <v>55.199999999999406</v>
      </c>
      <c r="G8" s="80">
        <f>-'Formulation &amp; overusage'!G103</f>
        <v>85.349999999999653</v>
      </c>
      <c r="H8" s="6"/>
    </row>
    <row r="9" spans="1:11" hidden="1" outlineLevel="1" x14ac:dyDescent="0.3">
      <c r="B9" s="7"/>
      <c r="C9" s="79" t="s">
        <v>2</v>
      </c>
      <c r="D9" s="80">
        <f>-'Formulation &amp; overusage'!D100</f>
        <v>0</v>
      </c>
      <c r="E9" s="80">
        <f>-'Formulation &amp; overusage'!E100</f>
        <v>-35.189999999999372</v>
      </c>
      <c r="F9" s="80">
        <f>-'Formulation &amp; overusage'!F100</f>
        <v>-55.199999999999619</v>
      </c>
      <c r="G9" s="80">
        <f>-'Formulation &amp; overusage'!G100</f>
        <v>53.900000000000887</v>
      </c>
      <c r="H9" s="6"/>
    </row>
    <row r="10" spans="1:11" s="113" customFormat="1" collapsed="1" x14ac:dyDescent="0.3">
      <c r="A10" s="113" t="s">
        <v>140</v>
      </c>
      <c r="B10" s="113" t="s">
        <v>3</v>
      </c>
      <c r="C10" s="113" t="s">
        <v>39</v>
      </c>
      <c r="D10" s="156">
        <f>SUMIFS(Movements!$K:$K,Movements!$A:$A,D$2,Movements!$G:$G,$A10,Movements!$D:$D,'P&amp;L'!$B10)</f>
        <v>0</v>
      </c>
      <c r="E10" s="156">
        <f>SUMIFS(Movements!$K:$K,Movements!$A:$A,E$2,Movements!$G:$G,$A10,Movements!$D:$D,'P&amp;L'!$B10)</f>
        <v>-523.46000000000197</v>
      </c>
      <c r="F10" s="156">
        <f>SUMIFS(Movements!$K:$K,Movements!$A:$A,F$2,Movements!$G:$G,$A10,Movements!$D:$D,'P&amp;L'!$B10)</f>
        <v>-199</v>
      </c>
      <c r="G10" s="156">
        <f>SUMIFS(Movements!$K:$K,Movements!$A:$A,G$2,Movements!$G:$G,$A10,Movements!$D:$D,'P&amp;L'!$B10)</f>
        <v>-296</v>
      </c>
      <c r="H10" s="190">
        <f t="shared" si="0"/>
        <v>-1018.460000000002</v>
      </c>
    </row>
    <row r="11" spans="1:11" x14ac:dyDescent="0.3">
      <c r="A11" s="2" t="s">
        <v>55</v>
      </c>
      <c r="B11" s="2" t="s">
        <v>3</v>
      </c>
      <c r="C11" s="2" t="s">
        <v>99</v>
      </c>
      <c r="D11" s="5">
        <f>SUMIFS(Movements!$K:$K,Movements!$A:$A,D$2,Movements!$G:$G,$A11,Movements!$D:$D,'P&amp;L'!$B11)</f>
        <v>0</v>
      </c>
      <c r="E11" s="5">
        <f>SUMIFS(Movements!$K:$K,Movements!$A:$A,E$2,Movements!$G:$G,$A11,Movements!$D:$D,'P&amp;L'!$B11)</f>
        <v>0</v>
      </c>
      <c r="F11" s="5">
        <f>SUMIFS(Movements!$K:$K,Movements!$A:$A,F$2,Movements!$G:$G,$A11,Movements!$D:$D,'P&amp;L'!$B11)</f>
        <v>-600</v>
      </c>
      <c r="G11" s="5">
        <f>SUMIFS(Movements!$K:$K,Movements!$A:$A,G$2,Movements!$G:$G,$A11,Movements!$D:$D,'P&amp;L'!$B11)</f>
        <v>0</v>
      </c>
      <c r="H11" s="6">
        <f t="shared" si="0"/>
        <v>-600</v>
      </c>
    </row>
    <row r="12" spans="1:11" x14ac:dyDescent="0.3">
      <c r="B12" s="2" t="s">
        <v>3</v>
      </c>
      <c r="C12" s="2" t="s">
        <v>118</v>
      </c>
      <c r="D12" s="5">
        <f>'Stock reval'!E29</f>
        <v>5422</v>
      </c>
      <c r="E12" s="5">
        <f>'Stock reval'!F29</f>
        <v>767</v>
      </c>
      <c r="F12" s="5">
        <f>'Stock reval'!G29</f>
        <v>-3927.7000000000003</v>
      </c>
      <c r="G12" s="5">
        <f>'Stock reval'!H29</f>
        <v>-521.59999999999991</v>
      </c>
      <c r="H12" s="6">
        <f t="shared" si="0"/>
        <v>1739.6999999999998</v>
      </c>
    </row>
    <row r="13" spans="1:11" ht="4.2" customHeight="1" x14ac:dyDescent="0.3">
      <c r="D13" s="5"/>
      <c r="E13" s="5"/>
      <c r="F13" s="5"/>
      <c r="G13" s="5"/>
      <c r="H13" s="3"/>
    </row>
    <row r="14" spans="1:11" s="113" customFormat="1" x14ac:dyDescent="0.3">
      <c r="A14" s="113" t="s">
        <v>44</v>
      </c>
      <c r="B14" s="113" t="s">
        <v>4</v>
      </c>
      <c r="C14" s="113" t="s">
        <v>166</v>
      </c>
      <c r="D14" s="156">
        <f>SUMIFS(Movements!$K:$K,Movements!$A:$A,D$2,Movements!$G:$G,$A14,Movements!$D:$D,'P&amp;L'!$B14)</f>
        <v>0</v>
      </c>
      <c r="E14" s="156">
        <f>SUMIFS(Movements!$K:$K,Movements!$A:$A,E$2,Movements!$G:$G,$A14,Movements!$D:$D,'P&amp;L'!$B14)</f>
        <v>-3005.8125</v>
      </c>
      <c r="F14" s="156">
        <f>SUMIFS(Movements!$K:$K,Movements!$A:$A,F$2,Movements!$G:$G,$A14,Movements!$D:$D,'P&amp;L'!$B14)</f>
        <v>-4715</v>
      </c>
      <c r="G14" s="156">
        <f>SUMIFS(Movements!$K:$K,Movements!$A:$A,G$2,Movements!$G:$G,$A14,Movements!$D:$D,'P&amp;L'!$B14)</f>
        <v>-3960.6000000000004</v>
      </c>
      <c r="H14" s="190">
        <f t="shared" si="0"/>
        <v>-11681.4125</v>
      </c>
    </row>
    <row r="15" spans="1:11" hidden="1" outlineLevel="1" x14ac:dyDescent="0.3">
      <c r="B15" s="2" t="s">
        <v>4</v>
      </c>
      <c r="C15" s="79" t="s">
        <v>117</v>
      </c>
      <c r="D15" s="80">
        <f>-'Formulation &amp; overusage'!D107</f>
        <v>0</v>
      </c>
      <c r="E15" s="80">
        <f>-'Formulation &amp; overusage'!E107</f>
        <v>-3005.8125</v>
      </c>
      <c r="F15" s="80">
        <f>-'Formulation &amp; overusage'!F107</f>
        <v>-4715</v>
      </c>
      <c r="G15" s="80">
        <f>-'Formulation &amp; overusage'!G107</f>
        <v>-3921.9600000000009</v>
      </c>
      <c r="H15" s="6">
        <f>'Formulation &amp; overusage'!H107</f>
        <v>0</v>
      </c>
    </row>
    <row r="16" spans="1:11" hidden="1" outlineLevel="1" x14ac:dyDescent="0.3">
      <c r="B16" s="2" t="s">
        <v>4</v>
      </c>
      <c r="C16" s="79" t="s">
        <v>1</v>
      </c>
      <c r="D16" s="80">
        <f>-'Formulation &amp; overusage'!D104</f>
        <v>0</v>
      </c>
      <c r="E16" s="80">
        <f>-'Formulation &amp; overusage'!E104</f>
        <v>-29.324999999999886</v>
      </c>
      <c r="F16" s="80">
        <f>-'Formulation &amp; overusage'!F104</f>
        <v>-45.999999999999837</v>
      </c>
      <c r="G16" s="80">
        <f>-'Formulation &amp; overusage'!G104</f>
        <v>0</v>
      </c>
      <c r="H16" s="6">
        <f>-'Formulation &amp; overusage'!H104</f>
        <v>0</v>
      </c>
    </row>
    <row r="17" spans="1:9" hidden="1" outlineLevel="1" x14ac:dyDescent="0.3">
      <c r="B17" s="2" t="s">
        <v>4</v>
      </c>
      <c r="C17" s="79" t="s">
        <v>2</v>
      </c>
      <c r="D17" s="80">
        <f>-'Formulation &amp; overusage'!D101</f>
        <v>0</v>
      </c>
      <c r="E17" s="80">
        <f>-'Formulation &amp; overusage'!E101</f>
        <v>29.324999999999886</v>
      </c>
      <c r="F17" s="80">
        <f>-'Formulation &amp; overusage'!F101</f>
        <v>45.999999999999837</v>
      </c>
      <c r="G17" s="80">
        <f>-'Formulation &amp; overusage'!G101</f>
        <v>-38.639999999999375</v>
      </c>
      <c r="H17" s="6">
        <f>-'Formulation &amp; overusage'!H101</f>
        <v>0</v>
      </c>
    </row>
    <row r="18" spans="1:9" s="113" customFormat="1" collapsed="1" x14ac:dyDescent="0.3">
      <c r="A18" s="113" t="s">
        <v>52</v>
      </c>
      <c r="B18" s="113" t="s">
        <v>4</v>
      </c>
      <c r="C18" s="113" t="s">
        <v>168</v>
      </c>
      <c r="D18" s="156">
        <f>SUMIFS(Movements!$K:$K,Movements!$A:$A,D$2,Movements!$G:$G,$A18,Movements!$D:$D,'P&amp;L'!$B18)</f>
        <v>0</v>
      </c>
      <c r="E18" s="156">
        <f>SUMIFS(Movements!$K:$K,Movements!$A:$A,E$2,Movements!$G:$G,$A18,Movements!$D:$D,'P&amp;L'!$B18)</f>
        <v>3162.5</v>
      </c>
      <c r="F18" s="156">
        <f>SUMIFS(Movements!$K:$K,Movements!$A:$A,F$2,Movements!$G:$G,$A18,Movements!$D:$D,'P&amp;L'!$B18)</f>
        <v>5895.1875</v>
      </c>
      <c r="G18" s="156">
        <f>SUMIFS(Movements!$K:$K,Movements!$A:$A,G$2,Movements!$G:$G,$A18,Movements!$D:$D,'P&amp;L'!$B18)</f>
        <v>2760</v>
      </c>
      <c r="H18" s="190">
        <f t="shared" si="0"/>
        <v>11817.6875</v>
      </c>
    </row>
    <row r="19" spans="1:9" s="113" customFormat="1" x14ac:dyDescent="0.3">
      <c r="A19" s="113" t="s">
        <v>54</v>
      </c>
      <c r="B19" s="113" t="s">
        <v>4</v>
      </c>
      <c r="C19" s="113" t="s">
        <v>100</v>
      </c>
      <c r="D19" s="156">
        <f>SUMIFS(Movements!$K:$K,Movements!$A:$A,D$2,Movements!$G:$G,$A19,Movements!$D:$D,'P&amp;L'!$B19)</f>
        <v>0</v>
      </c>
      <c r="E19" s="156">
        <f>SUMIFS(Movements!$K:$K,Movements!$A:$A,E$2,Movements!$G:$G,$A19,Movements!$D:$D,'P&amp;L'!$B19)</f>
        <v>0</v>
      </c>
      <c r="F19" s="156">
        <f>SUMIFS(Movements!$K:$K,Movements!$A:$A,F$2,Movements!$G:$G,$A19,Movements!$D:$D,'P&amp;L'!$B19)</f>
        <v>0</v>
      </c>
      <c r="G19" s="156">
        <f>SUMIFS(Movements!$K:$K,Movements!$A:$A,G$2,Movements!$G:$G,$A19,Movements!$D:$D,'P&amp;L'!$B19)</f>
        <v>0</v>
      </c>
      <c r="H19" s="190">
        <f t="shared" si="0"/>
        <v>0</v>
      </c>
    </row>
    <row r="20" spans="1:9" x14ac:dyDescent="0.3">
      <c r="A20" s="2" t="s">
        <v>55</v>
      </c>
      <c r="B20" s="2" t="s">
        <v>4</v>
      </c>
      <c r="C20" s="2" t="s">
        <v>101</v>
      </c>
      <c r="D20" s="5">
        <f>SUMIFS(Movements!$K:$K,Movements!$A:$A,D$2,Movements!$G:$G,$A20,Movements!$D:$D,'P&amp;L'!$B20)</f>
        <v>0</v>
      </c>
      <c r="E20" s="5">
        <f>SUMIFS(Movements!$K:$K,Movements!$A:$A,E$2,Movements!$G:$G,$A20,Movements!$D:$D,'P&amp;L'!$B20)</f>
        <v>0</v>
      </c>
      <c r="F20" s="5">
        <f>SUMIFS(Movements!$K:$K,Movements!$A:$A,F$2,Movements!$G:$G,$A20,Movements!$D:$D,'P&amp;L'!$B20)</f>
        <v>-86.25</v>
      </c>
      <c r="G20" s="5">
        <f>SUMIFS(Movements!$K:$K,Movements!$A:$A,G$2,Movements!$G:$G,$A20,Movements!$D:$D,'P&amp;L'!$B20)</f>
        <v>0</v>
      </c>
      <c r="H20" s="6">
        <f t="shared" si="0"/>
        <v>-86.25</v>
      </c>
    </row>
    <row r="21" spans="1:9" x14ac:dyDescent="0.3">
      <c r="B21" s="2" t="s">
        <v>4</v>
      </c>
      <c r="C21" s="2" t="s">
        <v>119</v>
      </c>
      <c r="D21" s="5">
        <f>'Stock reval'!E34</f>
        <v>0</v>
      </c>
      <c r="E21" s="5">
        <f>'Stock reval'!F34</f>
        <v>0</v>
      </c>
      <c r="F21" s="5">
        <f>'Stock reval'!G34</f>
        <v>-100.05000000000003</v>
      </c>
      <c r="G21" s="5">
        <f>'Stock reval'!H34</f>
        <v>50.025000000000091</v>
      </c>
      <c r="H21" s="6">
        <f t="shared" si="0"/>
        <v>-50.024999999999935</v>
      </c>
    </row>
    <row r="22" spans="1:9" ht="4.8" customHeight="1" x14ac:dyDescent="0.3">
      <c r="D22" s="5"/>
      <c r="E22" s="5"/>
      <c r="F22" s="5"/>
      <c r="G22" s="5"/>
      <c r="H22" s="3"/>
    </row>
    <row r="23" spans="1:9" s="113" customFormat="1" x14ac:dyDescent="0.3">
      <c r="A23" s="113" t="s">
        <v>52</v>
      </c>
      <c r="B23" s="113" t="s">
        <v>5</v>
      </c>
      <c r="C23" s="113" t="s">
        <v>167</v>
      </c>
      <c r="D23" s="156">
        <f>SUMIFS(Movements!$K:$K,Movements!$A:$A,D$2,Movements!$G:$G,$A23,Movements!$D:$D,'P&amp;L'!$B23)</f>
        <v>0</v>
      </c>
      <c r="E23" s="156">
        <f>SUMIFS(Movements!$K:$K,Movements!$A:$A,E$2,Movements!$G:$G,$A23,Movements!$D:$D,'P&amp;L'!$B23)</f>
        <v>39841.352500000001</v>
      </c>
      <c r="F23" s="156">
        <f>SUMIFS(Movements!$K:$K,Movements!$A:$A,F$2,Movements!$G:$G,$A23,Movements!$D:$D,'P&amp;L'!$B23)</f>
        <v>60715.7</v>
      </c>
      <c r="G23" s="156">
        <f>SUMIFS(Movements!$K:$K,Movements!$A:$A,G$2,Movements!$G:$G,$A23,Movements!$D:$D,'P&amp;L'!$B23)</f>
        <v>29102.21</v>
      </c>
      <c r="H23" s="190">
        <f t="shared" si="0"/>
        <v>129659.26249999998</v>
      </c>
    </row>
    <row r="24" spans="1:9" s="113" customFormat="1" x14ac:dyDescent="0.3">
      <c r="A24" s="113" t="s">
        <v>90</v>
      </c>
      <c r="B24" s="113" t="s">
        <v>5</v>
      </c>
      <c r="C24" s="113" t="s">
        <v>169</v>
      </c>
      <c r="D24" s="156">
        <f>SUMIFS(Movements!$K:$K,Movements!$A:$A,D$2,Movements!$G:$G,$A24,Movements!$D:$D,'P&amp;L'!$B24)</f>
        <v>0</v>
      </c>
      <c r="E24" s="156">
        <f>SUMIFS(Movements!$K:$K,Movements!$A:$A,E$2,Movements!$G:$G,$A24,Movements!$D:$D,'P&amp;L'!$B24)</f>
        <v>-21146.825000000001</v>
      </c>
      <c r="F24" s="156">
        <f>SUMIFS(Movements!$K:$K,Movements!$A:$A,F$2,Movements!$G:$G,$A24,Movements!$D:$D,'P&amp;L'!$B24)</f>
        <v>-58251.474999999999</v>
      </c>
      <c r="G24" s="156">
        <f>SUMIFS(Movements!$K:$K,Movements!$A:$A,G$2,Movements!$G:$G,$A24,Movements!$D:$D,'P&amp;L'!$B24)</f>
        <v>-51857.84</v>
      </c>
      <c r="H24" s="190">
        <f t="shared" si="0"/>
        <v>-131256.14000000001</v>
      </c>
    </row>
    <row r="25" spans="1:9" s="113" customFormat="1" x14ac:dyDescent="0.3">
      <c r="A25" s="113" t="s">
        <v>140</v>
      </c>
      <c r="B25" s="113" t="s">
        <v>5</v>
      </c>
      <c r="C25" s="113" t="s">
        <v>102</v>
      </c>
      <c r="D25" s="156">
        <f>SUMIFS(Movements!$K:$K,Movements!$A:$A,D$2,Movements!$G:$G,$A25,Movements!$D:$D,'P&amp;L'!$B25)</f>
        <v>0</v>
      </c>
      <c r="E25" s="156">
        <f>SUMIFS(Movements!$K:$K,Movements!$A:$A,E$2,Movements!$G:$G,$A25,Movements!$D:$D,'P&amp;L'!$B25)</f>
        <v>0</v>
      </c>
      <c r="F25" s="156">
        <f>SUMIFS(Movements!$K:$K,Movements!$A:$A,F$2,Movements!$G:$G,$A25,Movements!$D:$D,'P&amp;L'!$B25)</f>
        <v>0</v>
      </c>
      <c r="G25" s="156">
        <f>SUMIFS(Movements!$K:$K,Movements!$A:$A,G$2,Movements!$G:$G,$A25,Movements!$D:$D,'P&amp;L'!$B25)</f>
        <v>-85.35</v>
      </c>
      <c r="H25" s="190">
        <f t="shared" si="0"/>
        <v>-85.35</v>
      </c>
    </row>
    <row r="26" spans="1:9" x14ac:dyDescent="0.3">
      <c r="A26" s="2" t="s">
        <v>55</v>
      </c>
      <c r="B26" s="2" t="s">
        <v>5</v>
      </c>
      <c r="C26" s="2" t="s">
        <v>103</v>
      </c>
      <c r="D26" s="5">
        <f>SUMIFS(Movements!$K:$K,Movements!$A:$A,D$2,Movements!$G:$G,$A26,Movements!$D:$D,'P&amp;L'!$B26)</f>
        <v>0</v>
      </c>
      <c r="E26" s="5">
        <f>SUMIFS(Movements!$K:$K,Movements!$A:$A,E$2,Movements!$G:$G,$A26,Movements!$D:$D,'P&amp;L'!$B26)</f>
        <v>0</v>
      </c>
      <c r="F26" s="5">
        <f>SUMIFS(Movements!$K:$K,Movements!$A:$A,F$2,Movements!$G:$G,$A26,Movements!$D:$D,'P&amp;L'!$B26)</f>
        <v>-272.47750000000002</v>
      </c>
      <c r="G26" s="5">
        <f>SUMIFS(Movements!$K:$K,Movements!$A:$A,G$2,Movements!$G:$G,$A26,Movements!$D:$D,'P&amp;L'!$B26)</f>
        <v>0</v>
      </c>
      <c r="H26" s="6">
        <f t="shared" si="0"/>
        <v>-272.47750000000002</v>
      </c>
    </row>
    <row r="27" spans="1:9" x14ac:dyDescent="0.3">
      <c r="B27" s="2" t="s">
        <v>5</v>
      </c>
      <c r="C27" s="2" t="s">
        <v>120</v>
      </c>
      <c r="D27" s="5">
        <f>'Stock reval'!E39</f>
        <v>0</v>
      </c>
      <c r="E27" s="5">
        <f>'Stock reval'!F39</f>
        <v>1491.0399999999997</v>
      </c>
      <c r="F27" s="5">
        <f>'Stock reval'!G39</f>
        <v>1145.7099999999994</v>
      </c>
      <c r="G27" s="5">
        <f>'Stock reval'!H39</f>
        <v>-682.04500000000007</v>
      </c>
      <c r="H27" s="6">
        <f t="shared" si="0"/>
        <v>1954.704999999999</v>
      </c>
    </row>
    <row r="28" spans="1:9" ht="6.6" customHeight="1" x14ac:dyDescent="0.3">
      <c r="D28" s="5"/>
      <c r="E28" s="5"/>
      <c r="F28" s="5"/>
      <c r="G28" s="5"/>
      <c r="H28" s="3"/>
    </row>
    <row r="29" spans="1:9" x14ac:dyDescent="0.3">
      <c r="C29" s="2" t="s">
        <v>38</v>
      </c>
      <c r="D29" s="5">
        <f>'Slow moving'!D36</f>
        <v>0</v>
      </c>
      <c r="E29" s="5">
        <f>'Slow moving'!E36</f>
        <v>-3336.9437500000004</v>
      </c>
      <c r="F29" s="5">
        <f>'Slow moving'!F36</f>
        <v>3336.9437500000004</v>
      </c>
      <c r="G29" s="5">
        <f>'Slow moving'!G36</f>
        <v>0</v>
      </c>
      <c r="H29" s="6">
        <f t="shared" si="0"/>
        <v>0</v>
      </c>
    </row>
    <row r="30" spans="1:9" x14ac:dyDescent="0.3">
      <c r="C30" s="2" t="s">
        <v>40</v>
      </c>
      <c r="D30" s="5">
        <f>LOCOM!E14</f>
        <v>0</v>
      </c>
      <c r="E30" s="5">
        <f>LOCOM!F14</f>
        <v>0</v>
      </c>
      <c r="F30" s="5">
        <f>LOCOM!G14</f>
        <v>-661.50000000000023</v>
      </c>
      <c r="G30" s="5">
        <f>LOCOM!H14</f>
        <v>661.50000000000023</v>
      </c>
      <c r="H30" s="6">
        <f t="shared" si="0"/>
        <v>0</v>
      </c>
    </row>
    <row r="31" spans="1:9" x14ac:dyDescent="0.3">
      <c r="D31" s="5"/>
      <c r="E31" s="5"/>
      <c r="F31" s="5"/>
      <c r="G31" s="5"/>
      <c r="H31" s="3"/>
      <c r="I31" s="81" t="s">
        <v>138</v>
      </c>
    </row>
    <row r="32" spans="1:9" ht="15.6" x14ac:dyDescent="0.3">
      <c r="C32" s="2" t="s">
        <v>104</v>
      </c>
      <c r="D32" s="5">
        <f>SUM(D3:D30)-D6-D14</f>
        <v>0</v>
      </c>
      <c r="E32" s="5">
        <f>SUM(E3:E30)-E6-E14</f>
        <v>-24304.001250000008</v>
      </c>
      <c r="F32" s="5">
        <f>SUM(F3:F30)-F6-F14</f>
        <v>-60265.798749999944</v>
      </c>
      <c r="G32" s="5">
        <f>SUM(G3:G30)-G6-G14</f>
        <v>-52447.700000000004</v>
      </c>
      <c r="H32" s="6">
        <f>SUM(D32:G32)</f>
        <v>-137017.49999999997</v>
      </c>
      <c r="I32" s="112">
        <f>H32+SUM('Purchases &amp; PPV'!K17:N17)</f>
        <v>0</v>
      </c>
    </row>
    <row r="33" spans="3:8" x14ac:dyDescent="0.3">
      <c r="D33" s="5"/>
      <c r="E33" s="5"/>
      <c r="F33" s="5"/>
      <c r="G33" s="5"/>
      <c r="H33" s="3"/>
    </row>
    <row r="34" spans="3:8" s="113" customFormat="1" x14ac:dyDescent="0.3">
      <c r="C34" s="113" t="s">
        <v>107</v>
      </c>
      <c r="D34" s="156"/>
      <c r="E34" s="156">
        <f>Sales!C13</f>
        <v>35200</v>
      </c>
      <c r="F34" s="156">
        <f>Sales!D13</f>
        <v>89200</v>
      </c>
      <c r="G34" s="156">
        <f>Sales!E13</f>
        <v>77000</v>
      </c>
      <c r="H34" s="190">
        <f>SUM(D34:G34)</f>
        <v>201400</v>
      </c>
    </row>
    <row r="35" spans="3:8" x14ac:dyDescent="0.3">
      <c r="H35" s="3"/>
    </row>
    <row r="36" spans="3:8" x14ac:dyDescent="0.3">
      <c r="C36" s="7" t="s">
        <v>108</v>
      </c>
      <c r="D36" s="82"/>
      <c r="E36" s="8">
        <f>E32/E34</f>
        <v>-0.69045458096590928</v>
      </c>
      <c r="F36" s="8">
        <f>F32/F34</f>
        <v>-0.675625546524663</v>
      </c>
      <c r="G36" s="8">
        <f>G32/G34</f>
        <v>-0.6811389610389611</v>
      </c>
      <c r="H36" s="83">
        <f>H32/H34</f>
        <v>-0.68032522343594826</v>
      </c>
    </row>
  </sheetData>
  <mergeCells count="1">
    <mergeCell ref="H1:H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26B6A-450E-4183-97D0-669C1EBAB44C}">
  <sheetPr>
    <tabColor theme="7" tint="0.59999389629810485"/>
  </sheetPr>
  <dimension ref="A1"/>
  <sheetViews>
    <sheetView workbookViewId="0">
      <selection activeCell="U23" sqref="U23"/>
    </sheetView>
  </sheetViews>
  <sheetFormatPr defaultColWidth="9.109375" defaultRowHeight="14.4" x14ac:dyDescent="0.3"/>
  <cols>
    <col min="1" max="16384" width="9.109375" style="165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0B06F-E1C6-4346-96A8-E1B402CC29C5}">
  <sheetPr>
    <tabColor theme="7" tint="0.59999389629810485"/>
  </sheetPr>
  <dimension ref="A1"/>
  <sheetViews>
    <sheetView workbookViewId="0">
      <selection activeCell="W18" sqref="W18"/>
    </sheetView>
  </sheetViews>
  <sheetFormatPr defaultColWidth="9.109375" defaultRowHeight="14.4" x14ac:dyDescent="0.3"/>
  <cols>
    <col min="1" max="16384" width="9.109375" style="113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B652A-659E-4BE3-91C2-E347CA8AC537}">
  <sheetPr>
    <tabColor theme="7" tint="0.59999389629810485"/>
  </sheetPr>
  <dimension ref="A1"/>
  <sheetViews>
    <sheetView workbookViewId="0">
      <selection activeCell="W20" sqref="W20"/>
    </sheetView>
  </sheetViews>
  <sheetFormatPr defaultColWidth="9.109375" defaultRowHeight="14.4" x14ac:dyDescent="0.3"/>
  <cols>
    <col min="1" max="16384" width="9.109375" style="113"/>
  </cols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B798E-A6A7-4E9C-A4A2-B4BA6A25B23F}">
  <sheetPr>
    <tabColor theme="0"/>
  </sheetPr>
  <dimension ref="B2:C8"/>
  <sheetViews>
    <sheetView zoomScale="175" zoomScaleNormal="175" workbookViewId="0">
      <selection activeCell="C12" sqref="C12"/>
    </sheetView>
  </sheetViews>
  <sheetFormatPr defaultColWidth="9.109375" defaultRowHeight="14.4" x14ac:dyDescent="0.3"/>
  <cols>
    <col min="1" max="1" width="6" style="113" customWidth="1"/>
    <col min="2" max="2" width="19.109375" style="113" bestFit="1" customWidth="1"/>
    <col min="3" max="3" width="20.5546875" style="113" bestFit="1" customWidth="1"/>
    <col min="4" max="16384" width="9.109375" style="113"/>
  </cols>
  <sheetData>
    <row r="2" spans="2:3" x14ac:dyDescent="0.3">
      <c r="B2" s="114" t="s">
        <v>170</v>
      </c>
      <c r="C2" s="115" t="s">
        <v>171</v>
      </c>
    </row>
    <row r="3" spans="2:3" x14ac:dyDescent="0.3">
      <c r="B3" s="116" t="s">
        <v>71</v>
      </c>
      <c r="C3" s="117" t="s">
        <v>62</v>
      </c>
    </row>
    <row r="4" spans="2:3" x14ac:dyDescent="0.3">
      <c r="B4" s="116" t="s">
        <v>63</v>
      </c>
      <c r="C4" s="117" t="s">
        <v>64</v>
      </c>
    </row>
    <row r="5" spans="2:3" x14ac:dyDescent="0.3">
      <c r="B5" s="116" t="s">
        <v>66</v>
      </c>
      <c r="C5" s="117" t="s">
        <v>65</v>
      </c>
    </row>
    <row r="6" spans="2:3" x14ac:dyDescent="0.3">
      <c r="B6" s="116" t="s">
        <v>67</v>
      </c>
      <c r="C6" s="117" t="s">
        <v>68</v>
      </c>
    </row>
    <row r="7" spans="2:3" x14ac:dyDescent="0.3">
      <c r="B7" s="116" t="s">
        <v>69</v>
      </c>
      <c r="C7" s="117" t="s">
        <v>70</v>
      </c>
    </row>
    <row r="8" spans="2:3" x14ac:dyDescent="0.3">
      <c r="B8" s="118" t="s">
        <v>72</v>
      </c>
      <c r="C8" s="119" t="s">
        <v>73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1AADB-9BB5-4D77-B3CC-4D4CCCA2423C}">
  <sheetPr>
    <tabColor theme="0"/>
  </sheetPr>
  <dimension ref="A1:F9"/>
  <sheetViews>
    <sheetView zoomScale="160" zoomScaleNormal="160" workbookViewId="0">
      <selection activeCell="D17" sqref="D17"/>
    </sheetView>
  </sheetViews>
  <sheetFormatPr defaultColWidth="9.109375" defaultRowHeight="14.4" x14ac:dyDescent="0.3"/>
  <cols>
    <col min="1" max="1" width="16.109375" style="113" bestFit="1" customWidth="1"/>
    <col min="2" max="2" width="14.88671875" style="113" bestFit="1" customWidth="1"/>
    <col min="3" max="3" width="9.109375" style="113"/>
    <col min="4" max="4" width="21.6640625" style="113" customWidth="1"/>
    <col min="5" max="5" width="11" style="113" customWidth="1"/>
    <col min="6" max="16384" width="9.109375" style="113"/>
  </cols>
  <sheetData>
    <row r="1" spans="1:6" x14ac:dyDescent="0.3">
      <c r="A1" s="120"/>
      <c r="B1" s="121"/>
      <c r="C1" s="121"/>
      <c r="D1" s="121"/>
      <c r="E1" s="222" t="s">
        <v>85</v>
      </c>
      <c r="F1" s="223"/>
    </row>
    <row r="2" spans="1:6" x14ac:dyDescent="0.3">
      <c r="A2" s="122" t="s">
        <v>58</v>
      </c>
      <c r="B2" s="123" t="s">
        <v>34</v>
      </c>
      <c r="C2" s="123" t="s">
        <v>15</v>
      </c>
      <c r="D2" s="123" t="s">
        <v>35</v>
      </c>
      <c r="E2" s="184">
        <v>2022</v>
      </c>
      <c r="F2" s="185">
        <v>2023</v>
      </c>
    </row>
    <row r="3" spans="1:6" x14ac:dyDescent="0.3">
      <c r="A3" s="116">
        <v>120301</v>
      </c>
      <c r="B3" s="124" t="s">
        <v>42</v>
      </c>
      <c r="C3" s="124" t="s">
        <v>5</v>
      </c>
      <c r="D3" s="124" t="s">
        <v>36</v>
      </c>
      <c r="E3" s="166">
        <f>'BOM &amp; Std price'!M7</f>
        <v>27.24775</v>
      </c>
      <c r="F3" s="186">
        <f>'BOM &amp; Std price'!P7</f>
        <v>29.259799999999998</v>
      </c>
    </row>
    <row r="4" spans="1:6" x14ac:dyDescent="0.3">
      <c r="A4" s="116">
        <v>156212</v>
      </c>
      <c r="B4" s="124" t="s">
        <v>43</v>
      </c>
      <c r="C4" s="124" t="s">
        <v>5</v>
      </c>
      <c r="D4" s="124" t="s">
        <v>36</v>
      </c>
      <c r="E4" s="166">
        <f>'BOM &amp; Std price'!M29</f>
        <v>25.945</v>
      </c>
      <c r="F4" s="186">
        <f>'BOM &amp; Std price'!P29</f>
        <v>28.45</v>
      </c>
    </row>
    <row r="5" spans="1:6" x14ac:dyDescent="0.3">
      <c r="A5" s="116">
        <v>867156</v>
      </c>
      <c r="B5" s="124" t="s">
        <v>12</v>
      </c>
      <c r="C5" s="124" t="s">
        <v>3</v>
      </c>
      <c r="D5" s="124" t="s">
        <v>37</v>
      </c>
      <c r="E5" s="166">
        <v>28</v>
      </c>
      <c r="F5" s="187">
        <v>31</v>
      </c>
    </row>
    <row r="6" spans="1:6" x14ac:dyDescent="0.3">
      <c r="A6" s="116">
        <v>765190</v>
      </c>
      <c r="B6" s="124" t="s">
        <v>32</v>
      </c>
      <c r="C6" s="124" t="s">
        <v>3</v>
      </c>
      <c r="D6" s="124" t="s">
        <v>37</v>
      </c>
      <c r="E6" s="166">
        <v>15</v>
      </c>
      <c r="F6" s="187">
        <v>16</v>
      </c>
    </row>
    <row r="7" spans="1:6" x14ac:dyDescent="0.3">
      <c r="A7" s="116">
        <v>657341</v>
      </c>
      <c r="B7" s="124" t="s">
        <v>30</v>
      </c>
      <c r="C7" s="124" t="s">
        <v>3</v>
      </c>
      <c r="D7" s="124" t="s">
        <v>37</v>
      </c>
      <c r="E7" s="166">
        <v>25</v>
      </c>
      <c r="F7" s="187">
        <v>24</v>
      </c>
    </row>
    <row r="8" spans="1:6" x14ac:dyDescent="0.3">
      <c r="A8" s="116">
        <v>876145</v>
      </c>
      <c r="B8" s="124" t="s">
        <v>14</v>
      </c>
      <c r="C8" s="124" t="s">
        <v>4</v>
      </c>
      <c r="D8" s="124" t="s">
        <v>41</v>
      </c>
      <c r="E8" s="166">
        <f>'BOM &amp; Std price'!M17</f>
        <v>28.75</v>
      </c>
      <c r="F8" s="187">
        <f>'BOM &amp; Std price'!P17</f>
        <v>27.6</v>
      </c>
    </row>
    <row r="9" spans="1:6" x14ac:dyDescent="0.3">
      <c r="A9" s="118">
        <v>560196</v>
      </c>
      <c r="B9" s="125" t="s">
        <v>31</v>
      </c>
      <c r="C9" s="125" t="s">
        <v>3</v>
      </c>
      <c r="D9" s="125" t="s">
        <v>37</v>
      </c>
      <c r="E9" s="167">
        <v>25</v>
      </c>
      <c r="F9" s="188">
        <v>27</v>
      </c>
    </row>
  </sheetData>
  <mergeCells count="1">
    <mergeCell ref="E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CB1AB-1A02-413B-AA08-850D010DB6BD}">
  <sheetPr>
    <tabColor theme="0"/>
  </sheetPr>
  <dimension ref="A1:X33"/>
  <sheetViews>
    <sheetView topLeftCell="C1" zoomScale="145" zoomScaleNormal="145" workbookViewId="0">
      <selection activeCell="H17" sqref="H17"/>
    </sheetView>
  </sheetViews>
  <sheetFormatPr defaultColWidth="9.109375" defaultRowHeight="14.4" x14ac:dyDescent="0.3"/>
  <cols>
    <col min="1" max="1" width="9.109375" style="113"/>
    <col min="2" max="2" width="20.5546875" style="113" bestFit="1" customWidth="1"/>
    <col min="3" max="3" width="11.88671875" style="113" bestFit="1" customWidth="1"/>
    <col min="4" max="4" width="8.109375" style="113" customWidth="1"/>
    <col min="5" max="9" width="9.109375" style="113"/>
    <col min="10" max="10" width="2.6640625" style="113" customWidth="1"/>
    <col min="11" max="11" width="18.5546875" style="113" bestFit="1" customWidth="1"/>
    <col min="12" max="12" width="6.33203125" style="113" customWidth="1"/>
    <col min="13" max="13" width="11.33203125" style="113" bestFit="1" customWidth="1"/>
    <col min="14" max="14" width="9.109375" style="113"/>
    <col min="15" max="15" width="5" style="113" bestFit="1" customWidth="1"/>
    <col min="16" max="16" width="11.33203125" style="113" bestFit="1" customWidth="1"/>
    <col min="17" max="19" width="9.109375" style="113"/>
    <col min="20" max="20" width="14.88671875" style="113" bestFit="1" customWidth="1"/>
    <col min="21" max="16384" width="9.109375" style="113"/>
  </cols>
  <sheetData>
    <row r="1" spans="1:24" x14ac:dyDescent="0.3">
      <c r="A1" s="126"/>
      <c r="B1" s="127"/>
      <c r="C1" s="127"/>
      <c r="D1" s="127"/>
      <c r="E1" s="127"/>
      <c r="F1" s="127"/>
      <c r="G1" s="127"/>
      <c r="H1" s="127"/>
      <c r="I1" s="127"/>
      <c r="J1" s="127"/>
      <c r="K1" s="127" t="s">
        <v>17</v>
      </c>
      <c r="L1" s="225">
        <v>2022</v>
      </c>
      <c r="M1" s="226"/>
      <c r="N1" s="227"/>
      <c r="O1" s="225">
        <v>2023</v>
      </c>
      <c r="P1" s="226"/>
      <c r="Q1" s="228"/>
    </row>
    <row r="2" spans="1:24" x14ac:dyDescent="0.3">
      <c r="A2" s="128"/>
      <c r="B2" s="124"/>
      <c r="C2" s="124" t="s">
        <v>6</v>
      </c>
      <c r="D2" s="124" t="s">
        <v>42</v>
      </c>
      <c r="E2" s="124">
        <f>'list of materials'!A3</f>
        <v>120301</v>
      </c>
      <c r="F2" s="124"/>
      <c r="G2" s="124"/>
      <c r="H2" s="124"/>
      <c r="I2" s="124"/>
      <c r="J2" s="124"/>
      <c r="K2" s="124"/>
      <c r="L2" s="118" t="s">
        <v>16</v>
      </c>
      <c r="M2" s="125" t="s">
        <v>18</v>
      </c>
      <c r="N2" s="168" t="s">
        <v>187</v>
      </c>
      <c r="O2" s="118" t="s">
        <v>16</v>
      </c>
      <c r="P2" s="125" t="s">
        <v>18</v>
      </c>
      <c r="Q2" s="168" t="s">
        <v>187</v>
      </c>
      <c r="U2" s="147"/>
      <c r="V2" s="147"/>
      <c r="W2" s="147"/>
    </row>
    <row r="3" spans="1:24" x14ac:dyDescent="0.3">
      <c r="A3" s="128"/>
      <c r="B3" s="124"/>
      <c r="C3" s="124" t="s">
        <v>13</v>
      </c>
      <c r="D3" s="124">
        <v>1000</v>
      </c>
      <c r="E3" s="124" t="s">
        <v>16</v>
      </c>
      <c r="F3" s="124"/>
      <c r="G3" s="124"/>
      <c r="H3" s="124"/>
      <c r="I3" s="124"/>
      <c r="J3" s="124"/>
      <c r="K3" s="124" t="s">
        <v>12</v>
      </c>
      <c r="L3" s="116">
        <f>D7</f>
        <v>708</v>
      </c>
      <c r="M3" s="124">
        <f>VLOOKUP(K3,'list of materials'!B:E,4,0)</f>
        <v>28</v>
      </c>
      <c r="N3" s="151">
        <f>M3*L3</f>
        <v>19824</v>
      </c>
      <c r="O3" s="116">
        <f>H7</f>
        <v>711</v>
      </c>
      <c r="P3" s="124">
        <f>VLOOKUP(K3,'list of materials'!B:F,5,0)</f>
        <v>31</v>
      </c>
      <c r="Q3" s="169">
        <f>P3*O3</f>
        <v>22041</v>
      </c>
    </row>
    <row r="4" spans="1:24" x14ac:dyDescent="0.3">
      <c r="A4" s="128"/>
      <c r="B4" s="124"/>
      <c r="C4" s="124" t="s">
        <v>7</v>
      </c>
      <c r="D4" s="124" t="s">
        <v>8</v>
      </c>
      <c r="E4" s="124"/>
      <c r="F4" s="124"/>
      <c r="G4" s="124"/>
      <c r="H4" s="124"/>
      <c r="I4" s="124"/>
      <c r="J4" s="124"/>
      <c r="K4" s="124" t="s">
        <v>14</v>
      </c>
      <c r="L4" s="116">
        <f>D8</f>
        <v>205</v>
      </c>
      <c r="M4" s="124">
        <f>VLOOKUP(K4,'list of materials'!B:E,4,0)</f>
        <v>28.75</v>
      </c>
      <c r="N4" s="151">
        <f>M4*L4</f>
        <v>5893.75</v>
      </c>
      <c r="O4" s="116">
        <f>H8</f>
        <v>203</v>
      </c>
      <c r="P4" s="124">
        <f>VLOOKUP(K4,'list of materials'!B:F,5,0)</f>
        <v>27.6</v>
      </c>
      <c r="Q4" s="169">
        <f>P4*O4</f>
        <v>5602.8</v>
      </c>
      <c r="U4" s="158"/>
      <c r="V4" s="158"/>
      <c r="W4" s="158"/>
    </row>
    <row r="5" spans="1:24" x14ac:dyDescent="0.3">
      <c r="A5" s="128"/>
      <c r="B5" s="124"/>
      <c r="C5" s="124"/>
      <c r="D5" s="224" t="s">
        <v>25</v>
      </c>
      <c r="E5" s="224"/>
      <c r="F5" s="224"/>
      <c r="G5" s="224"/>
      <c r="H5" s="224"/>
      <c r="I5" s="224"/>
      <c r="J5" s="124"/>
      <c r="K5" s="124" t="s">
        <v>32</v>
      </c>
      <c r="L5" s="116">
        <f>D9</f>
        <v>102</v>
      </c>
      <c r="M5" s="124">
        <f>VLOOKUP(K5,'list of materials'!B:E,4,0)</f>
        <v>15</v>
      </c>
      <c r="N5" s="151">
        <f>M5*L5</f>
        <v>1530</v>
      </c>
      <c r="O5" s="116">
        <f>H9</f>
        <v>101</v>
      </c>
      <c r="P5" s="124">
        <f>VLOOKUP(K5,'list of materials'!B:F,5,0)</f>
        <v>16</v>
      </c>
      <c r="Q5" s="169">
        <f>P5*O5</f>
        <v>1616</v>
      </c>
      <c r="U5" s="158"/>
      <c r="V5" s="158"/>
      <c r="W5" s="158"/>
      <c r="X5" s="158"/>
    </row>
    <row r="6" spans="1:24" x14ac:dyDescent="0.3">
      <c r="A6" s="129" t="s">
        <v>15</v>
      </c>
      <c r="B6" s="130" t="s">
        <v>27</v>
      </c>
      <c r="C6" s="130" t="s">
        <v>59</v>
      </c>
      <c r="D6" s="131" t="s">
        <v>141</v>
      </c>
      <c r="E6" s="132" t="s">
        <v>9</v>
      </c>
      <c r="F6" s="132" t="s">
        <v>10</v>
      </c>
      <c r="G6" s="133" t="s">
        <v>11</v>
      </c>
      <c r="H6" s="131" t="s">
        <v>142</v>
      </c>
      <c r="I6" s="133" t="s">
        <v>26</v>
      </c>
      <c r="J6" s="124"/>
      <c r="K6" s="124"/>
      <c r="L6" s="116"/>
      <c r="M6" s="124"/>
      <c r="N6" s="151"/>
      <c r="O6" s="116"/>
      <c r="P6" s="124"/>
      <c r="Q6" s="169"/>
      <c r="U6" s="158"/>
      <c r="V6" s="158"/>
      <c r="W6" s="158"/>
    </row>
    <row r="7" spans="1:24" x14ac:dyDescent="0.3">
      <c r="A7" s="128" t="s">
        <v>3</v>
      </c>
      <c r="B7" s="124" t="s">
        <v>12</v>
      </c>
      <c r="C7" s="124">
        <f>'list of materials'!A5</f>
        <v>867156</v>
      </c>
      <c r="D7" s="116">
        <v>708</v>
      </c>
      <c r="E7" s="124">
        <v>708</v>
      </c>
      <c r="F7" s="124">
        <v>711</v>
      </c>
      <c r="G7" s="117">
        <v>711</v>
      </c>
      <c r="H7" s="116">
        <v>711</v>
      </c>
      <c r="I7" s="117">
        <v>708</v>
      </c>
      <c r="J7" s="124"/>
      <c r="K7" s="130" t="s">
        <v>28</v>
      </c>
      <c r="L7" s="134"/>
      <c r="M7" s="130">
        <f>N7/D3</f>
        <v>27.24775</v>
      </c>
      <c r="N7" s="170">
        <f>SUM(N3:N5)</f>
        <v>27247.75</v>
      </c>
      <c r="O7" s="134"/>
      <c r="P7" s="130">
        <f>Q7/D3</f>
        <v>29.259799999999998</v>
      </c>
      <c r="Q7" s="171">
        <f>SUM(Q3:Q5)</f>
        <v>29259.8</v>
      </c>
    </row>
    <row r="8" spans="1:24" x14ac:dyDescent="0.3">
      <c r="A8" s="128" t="s">
        <v>4</v>
      </c>
      <c r="B8" s="124" t="s">
        <v>14</v>
      </c>
      <c r="C8" s="124">
        <f>'list of materials'!A8</f>
        <v>876145</v>
      </c>
      <c r="D8" s="116">
        <v>205</v>
      </c>
      <c r="E8" s="124">
        <v>205</v>
      </c>
      <c r="F8" s="124">
        <v>203</v>
      </c>
      <c r="G8" s="117">
        <v>203</v>
      </c>
      <c r="H8" s="116">
        <v>203</v>
      </c>
      <c r="I8" s="117">
        <v>205</v>
      </c>
      <c r="J8" s="124"/>
      <c r="K8" s="124" t="s">
        <v>19</v>
      </c>
      <c r="L8" s="116"/>
      <c r="M8" s="124" t="s">
        <v>20</v>
      </c>
      <c r="N8" s="151">
        <v>2000</v>
      </c>
      <c r="O8" s="116"/>
      <c r="P8" s="124" t="s">
        <v>20</v>
      </c>
      <c r="Q8" s="169">
        <v>2000</v>
      </c>
    </row>
    <row r="9" spans="1:24" x14ac:dyDescent="0.3">
      <c r="A9" s="128" t="s">
        <v>3</v>
      </c>
      <c r="B9" s="124" t="s">
        <v>32</v>
      </c>
      <c r="C9" s="124">
        <f>'list of materials'!A6</f>
        <v>765190</v>
      </c>
      <c r="D9" s="116">
        <v>102</v>
      </c>
      <c r="E9" s="124">
        <v>102</v>
      </c>
      <c r="F9" s="124">
        <v>101</v>
      </c>
      <c r="G9" s="117">
        <v>101</v>
      </c>
      <c r="H9" s="116">
        <v>101</v>
      </c>
      <c r="I9" s="117">
        <v>102</v>
      </c>
      <c r="J9" s="124"/>
      <c r="K9" s="124" t="s">
        <v>19</v>
      </c>
      <c r="L9" s="116"/>
      <c r="M9" s="124" t="s">
        <v>21</v>
      </c>
      <c r="N9" s="151">
        <v>1000</v>
      </c>
      <c r="O9" s="116"/>
      <c r="P9" s="124" t="s">
        <v>21</v>
      </c>
      <c r="Q9" s="169">
        <v>1000</v>
      </c>
    </row>
    <row r="10" spans="1:24" x14ac:dyDescent="0.3">
      <c r="A10" s="128"/>
      <c r="B10" s="130" t="s">
        <v>29</v>
      </c>
      <c r="C10" s="130"/>
      <c r="D10" s="134">
        <f t="shared" ref="D10:I10" si="0">SUM(D7:D9)</f>
        <v>1015</v>
      </c>
      <c r="E10" s="130">
        <f t="shared" si="0"/>
        <v>1015</v>
      </c>
      <c r="F10" s="130">
        <f t="shared" si="0"/>
        <v>1015</v>
      </c>
      <c r="G10" s="135">
        <f t="shared" si="0"/>
        <v>1015</v>
      </c>
      <c r="H10" s="134">
        <f t="shared" si="0"/>
        <v>1015</v>
      </c>
      <c r="I10" s="135">
        <f t="shared" si="0"/>
        <v>1015</v>
      </c>
      <c r="J10" s="124"/>
      <c r="K10" s="124" t="s">
        <v>22</v>
      </c>
      <c r="L10" s="116"/>
      <c r="M10" s="124" t="s">
        <v>23</v>
      </c>
      <c r="N10" s="151">
        <v>800</v>
      </c>
      <c r="O10" s="116"/>
      <c r="P10" s="124" t="s">
        <v>23</v>
      </c>
      <c r="Q10" s="169">
        <v>800</v>
      </c>
    </row>
    <row r="11" spans="1:24" ht="15" thickBot="1" x14ac:dyDescent="0.35">
      <c r="A11" s="136"/>
      <c r="B11" s="137" t="s">
        <v>33</v>
      </c>
      <c r="C11" s="137"/>
      <c r="D11" s="138">
        <f t="shared" ref="D11:I11" si="1">D10/$D$3-1</f>
        <v>1.4999999999999902E-2</v>
      </c>
      <c r="E11" s="139">
        <f t="shared" si="1"/>
        <v>1.4999999999999902E-2</v>
      </c>
      <c r="F11" s="139">
        <f t="shared" si="1"/>
        <v>1.4999999999999902E-2</v>
      </c>
      <c r="G11" s="140">
        <f t="shared" si="1"/>
        <v>1.4999999999999902E-2</v>
      </c>
      <c r="H11" s="138">
        <f t="shared" si="1"/>
        <v>1.4999999999999902E-2</v>
      </c>
      <c r="I11" s="140">
        <f t="shared" si="1"/>
        <v>1.4999999999999902E-2</v>
      </c>
      <c r="J11" s="145"/>
      <c r="K11" s="172" t="s">
        <v>24</v>
      </c>
      <c r="L11" s="173"/>
      <c r="M11" s="172">
        <f>N11/D3</f>
        <v>31.047750000000001</v>
      </c>
      <c r="N11" s="174">
        <f>SUM(N7:N10)</f>
        <v>31047.75</v>
      </c>
      <c r="O11" s="173"/>
      <c r="P11" s="172">
        <f>Q11/D3</f>
        <v>33.059800000000003</v>
      </c>
      <c r="Q11" s="175">
        <f>SUM(Q7:Q10)</f>
        <v>33059.800000000003</v>
      </c>
    </row>
    <row r="12" spans="1:24" x14ac:dyDescent="0.3">
      <c r="A12" s="126"/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76"/>
      <c r="O12" s="127"/>
      <c r="P12" s="127"/>
      <c r="Q12" s="177"/>
    </row>
    <row r="13" spans="1:24" x14ac:dyDescent="0.3">
      <c r="A13" s="128"/>
      <c r="B13" s="124"/>
      <c r="C13" s="124" t="s">
        <v>6</v>
      </c>
      <c r="D13" s="124" t="s">
        <v>14</v>
      </c>
      <c r="E13" s="124"/>
      <c r="F13" s="124"/>
      <c r="G13" s="124"/>
      <c r="H13" s="124"/>
      <c r="I13" s="124"/>
      <c r="J13" s="124"/>
      <c r="K13" s="124" t="s">
        <v>17</v>
      </c>
      <c r="L13" s="229">
        <v>2022</v>
      </c>
      <c r="M13" s="230"/>
      <c r="N13" s="231"/>
      <c r="O13" s="229">
        <v>2023</v>
      </c>
      <c r="P13" s="230"/>
      <c r="Q13" s="232"/>
      <c r="U13" s="147"/>
      <c r="V13" s="147"/>
      <c r="W13" s="147"/>
    </row>
    <row r="14" spans="1:24" x14ac:dyDescent="0.3">
      <c r="A14" s="128"/>
      <c r="B14" s="124"/>
      <c r="C14" s="124" t="s">
        <v>13</v>
      </c>
      <c r="D14" s="124">
        <v>1000</v>
      </c>
      <c r="E14" s="124" t="s">
        <v>16</v>
      </c>
      <c r="F14" s="124"/>
      <c r="G14" s="124"/>
      <c r="H14" s="124"/>
      <c r="I14" s="124"/>
      <c r="J14" s="124"/>
      <c r="K14" s="124"/>
      <c r="L14" s="116" t="s">
        <v>16</v>
      </c>
      <c r="M14" s="124" t="s">
        <v>18</v>
      </c>
      <c r="N14" s="178" t="s">
        <v>187</v>
      </c>
      <c r="O14" s="116" t="s">
        <v>16</v>
      </c>
      <c r="P14" s="124" t="s">
        <v>18</v>
      </c>
      <c r="Q14" s="178" t="s">
        <v>187</v>
      </c>
      <c r="X14" s="158"/>
    </row>
    <row r="15" spans="1:24" x14ac:dyDescent="0.3">
      <c r="A15" s="128"/>
      <c r="B15" s="124"/>
      <c r="C15" s="124" t="s">
        <v>7</v>
      </c>
      <c r="D15" s="124" t="s">
        <v>8</v>
      </c>
      <c r="E15" s="124"/>
      <c r="F15" s="124"/>
      <c r="G15" s="124"/>
      <c r="H15" s="124"/>
      <c r="I15" s="124"/>
      <c r="J15" s="124"/>
      <c r="K15" s="124" t="s">
        <v>30</v>
      </c>
      <c r="L15" s="116">
        <f>D18</f>
        <v>1150</v>
      </c>
      <c r="M15" s="124">
        <f>VLOOKUP(K15,'list of materials'!B:E,4,0)</f>
        <v>25</v>
      </c>
      <c r="N15" s="151">
        <f>M15*L15</f>
        <v>28750</v>
      </c>
      <c r="O15" s="116">
        <f>H18</f>
        <v>1150</v>
      </c>
      <c r="P15" s="124">
        <f>VLOOKUP(K15,'list of materials'!B:F,5,0)</f>
        <v>24</v>
      </c>
      <c r="Q15" s="169">
        <f>P15*O15</f>
        <v>27600</v>
      </c>
    </row>
    <row r="16" spans="1:24" x14ac:dyDescent="0.3">
      <c r="A16" s="128"/>
      <c r="B16" s="124"/>
      <c r="C16" s="124"/>
      <c r="D16" s="224" t="s">
        <v>25</v>
      </c>
      <c r="E16" s="224"/>
      <c r="F16" s="224"/>
      <c r="G16" s="224"/>
      <c r="H16" s="224"/>
      <c r="I16" s="224"/>
      <c r="J16" s="124"/>
      <c r="K16" s="124"/>
      <c r="L16" s="116"/>
      <c r="M16" s="124"/>
      <c r="N16" s="151"/>
      <c r="O16" s="116"/>
      <c r="P16" s="124"/>
      <c r="Q16" s="169"/>
    </row>
    <row r="17" spans="1:23" x14ac:dyDescent="0.3">
      <c r="A17" s="129" t="s">
        <v>15</v>
      </c>
      <c r="B17" s="130" t="s">
        <v>27</v>
      </c>
      <c r="C17" s="130" t="s">
        <v>59</v>
      </c>
      <c r="D17" s="131" t="s">
        <v>141</v>
      </c>
      <c r="E17" s="132" t="s">
        <v>9</v>
      </c>
      <c r="F17" s="132" t="s">
        <v>10</v>
      </c>
      <c r="G17" s="133" t="s">
        <v>11</v>
      </c>
      <c r="H17" s="131" t="s">
        <v>142</v>
      </c>
      <c r="I17" s="133" t="s">
        <v>26</v>
      </c>
      <c r="J17" s="124"/>
      <c r="K17" s="130" t="s">
        <v>28</v>
      </c>
      <c r="L17" s="134"/>
      <c r="M17" s="130">
        <f>N17/D14</f>
        <v>28.75</v>
      </c>
      <c r="N17" s="170">
        <f>SUM(N13:N15)</f>
        <v>28750</v>
      </c>
      <c r="O17" s="134"/>
      <c r="P17" s="130">
        <f>Q17/D14</f>
        <v>27.6</v>
      </c>
      <c r="Q17" s="171">
        <f>SUM(Q13:Q15)</f>
        <v>27600</v>
      </c>
    </row>
    <row r="18" spans="1:23" x14ac:dyDescent="0.3">
      <c r="A18" s="128" t="s">
        <v>3</v>
      </c>
      <c r="B18" s="124" t="s">
        <v>30</v>
      </c>
      <c r="C18" s="124">
        <f>'list of materials'!A7</f>
        <v>657341</v>
      </c>
      <c r="D18" s="116">
        <v>1150</v>
      </c>
      <c r="E18" s="124">
        <v>1150</v>
      </c>
      <c r="F18" s="124">
        <v>1150</v>
      </c>
      <c r="G18" s="117">
        <v>1150</v>
      </c>
      <c r="H18" s="116">
        <v>1150</v>
      </c>
      <c r="I18" s="117">
        <v>1150</v>
      </c>
      <c r="J18" s="124"/>
      <c r="K18" s="124" t="s">
        <v>19</v>
      </c>
      <c r="L18" s="116"/>
      <c r="M18" s="124" t="s">
        <v>20</v>
      </c>
      <c r="N18" s="151">
        <v>500</v>
      </c>
      <c r="O18" s="116"/>
      <c r="P18" s="124" t="s">
        <v>20</v>
      </c>
      <c r="Q18" s="169">
        <v>500</v>
      </c>
    </row>
    <row r="19" spans="1:23" x14ac:dyDescent="0.3">
      <c r="A19" s="128"/>
      <c r="B19" s="130" t="s">
        <v>29</v>
      </c>
      <c r="C19" s="130"/>
      <c r="D19" s="134">
        <f t="shared" ref="D19:I19" si="2">SUM(D18)</f>
        <v>1150</v>
      </c>
      <c r="E19" s="130">
        <f t="shared" si="2"/>
        <v>1150</v>
      </c>
      <c r="F19" s="130">
        <f t="shared" si="2"/>
        <v>1150</v>
      </c>
      <c r="G19" s="135">
        <f t="shared" si="2"/>
        <v>1150</v>
      </c>
      <c r="H19" s="134">
        <f t="shared" si="2"/>
        <v>1150</v>
      </c>
      <c r="I19" s="135">
        <f t="shared" si="2"/>
        <v>1150</v>
      </c>
      <c r="J19" s="124"/>
      <c r="K19" s="124" t="s">
        <v>19</v>
      </c>
      <c r="L19" s="116"/>
      <c r="M19" s="124" t="s">
        <v>21</v>
      </c>
      <c r="N19" s="151">
        <v>400</v>
      </c>
      <c r="O19" s="116"/>
      <c r="P19" s="124" t="s">
        <v>21</v>
      </c>
      <c r="Q19" s="169">
        <v>400</v>
      </c>
    </row>
    <row r="20" spans="1:23" x14ac:dyDescent="0.3">
      <c r="A20" s="128"/>
      <c r="B20" s="141" t="s">
        <v>33</v>
      </c>
      <c r="C20" s="141"/>
      <c r="D20" s="142">
        <f t="shared" ref="D20:I20" si="3">D19/$D$14-1</f>
        <v>0.14999999999999991</v>
      </c>
      <c r="E20" s="143">
        <f t="shared" si="3"/>
        <v>0.14999999999999991</v>
      </c>
      <c r="F20" s="143">
        <f t="shared" si="3"/>
        <v>0.14999999999999991</v>
      </c>
      <c r="G20" s="144">
        <f t="shared" si="3"/>
        <v>0.14999999999999991</v>
      </c>
      <c r="H20" s="142">
        <f t="shared" si="3"/>
        <v>0.14999999999999991</v>
      </c>
      <c r="I20" s="144">
        <f t="shared" si="3"/>
        <v>0.14999999999999991</v>
      </c>
      <c r="J20" s="124"/>
      <c r="K20" s="124" t="s">
        <v>22</v>
      </c>
      <c r="L20" s="116"/>
      <c r="M20" s="124" t="s">
        <v>23</v>
      </c>
      <c r="N20" s="151">
        <v>200</v>
      </c>
      <c r="O20" s="116"/>
      <c r="P20" s="124" t="s">
        <v>23</v>
      </c>
      <c r="Q20" s="169">
        <v>200</v>
      </c>
    </row>
    <row r="21" spans="1:23" x14ac:dyDescent="0.3">
      <c r="A21" s="128"/>
      <c r="B21" s="124"/>
      <c r="C21" s="124"/>
      <c r="D21" s="124"/>
      <c r="E21" s="124"/>
      <c r="F21" s="124"/>
      <c r="G21" s="124"/>
      <c r="H21" s="124"/>
      <c r="I21" s="124"/>
      <c r="J21" s="124"/>
      <c r="K21" s="130" t="s">
        <v>24</v>
      </c>
      <c r="L21" s="122"/>
      <c r="M21" s="123">
        <f>N21/D14</f>
        <v>29.85</v>
      </c>
      <c r="N21" s="179">
        <f>SUM(N17:N20)</f>
        <v>29850</v>
      </c>
      <c r="O21" s="122"/>
      <c r="P21" s="123">
        <f>Q21/D14</f>
        <v>28.7</v>
      </c>
      <c r="Q21" s="180">
        <f>SUM(Q17:Q20)</f>
        <v>28700</v>
      </c>
    </row>
    <row r="22" spans="1:23" ht="15" thickBot="1" x14ac:dyDescent="0.35">
      <c r="A22" s="136"/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81"/>
      <c r="O22" s="145"/>
      <c r="P22" s="145"/>
      <c r="Q22" s="182"/>
    </row>
    <row r="23" spans="1:23" x14ac:dyDescent="0.3">
      <c r="A23" s="126"/>
      <c r="B23" s="127"/>
      <c r="C23" s="127" t="s">
        <v>6</v>
      </c>
      <c r="D23" s="127" t="s">
        <v>43</v>
      </c>
      <c r="E23" s="127"/>
      <c r="F23" s="127"/>
      <c r="G23" s="127"/>
      <c r="H23" s="127"/>
      <c r="I23" s="127"/>
      <c r="J23" s="127"/>
      <c r="K23" s="127" t="s">
        <v>17</v>
      </c>
      <c r="L23" s="225">
        <v>2022</v>
      </c>
      <c r="M23" s="226"/>
      <c r="N23" s="227"/>
      <c r="O23" s="225">
        <v>2023</v>
      </c>
      <c r="P23" s="226"/>
      <c r="Q23" s="228"/>
      <c r="U23" s="147"/>
      <c r="V23" s="147"/>
      <c r="W23" s="147"/>
    </row>
    <row r="24" spans="1:23" x14ac:dyDescent="0.3">
      <c r="A24" s="128"/>
      <c r="B24" s="124"/>
      <c r="C24" s="124" t="s">
        <v>13</v>
      </c>
      <c r="D24" s="124">
        <v>1000</v>
      </c>
      <c r="E24" s="124" t="s">
        <v>16</v>
      </c>
      <c r="F24" s="124"/>
      <c r="G24" s="124"/>
      <c r="H24" s="124"/>
      <c r="I24" s="124"/>
      <c r="J24" s="124"/>
      <c r="K24" s="124"/>
      <c r="L24" s="116" t="s">
        <v>16</v>
      </c>
      <c r="M24" s="124" t="s">
        <v>18</v>
      </c>
      <c r="N24" s="178" t="s">
        <v>187</v>
      </c>
      <c r="O24" s="116" t="s">
        <v>16</v>
      </c>
      <c r="P24" s="124" t="s">
        <v>18</v>
      </c>
      <c r="Q24" s="178" t="s">
        <v>187</v>
      </c>
    </row>
    <row r="25" spans="1:23" x14ac:dyDescent="0.3">
      <c r="A25" s="128"/>
      <c r="B25" s="124"/>
      <c r="C25" s="124" t="s">
        <v>7</v>
      </c>
      <c r="D25" s="124" t="s">
        <v>8</v>
      </c>
      <c r="E25" s="124"/>
      <c r="F25" s="124"/>
      <c r="G25" s="124"/>
      <c r="H25" s="124"/>
      <c r="I25" s="124"/>
      <c r="J25" s="124"/>
      <c r="K25" s="124" t="s">
        <v>12</v>
      </c>
      <c r="L25" s="116">
        <f>D29</f>
        <v>590</v>
      </c>
      <c r="M25" s="124">
        <f>VLOOKUP(K25,'list of materials'!B:E,4,0)</f>
        <v>28</v>
      </c>
      <c r="N25" s="151">
        <f>M25*L25</f>
        <v>16520</v>
      </c>
      <c r="O25" s="116">
        <f>H29</f>
        <v>590</v>
      </c>
      <c r="P25" s="124">
        <f>VLOOKUP(K25,'list of materials'!B:F,5,0)</f>
        <v>31</v>
      </c>
      <c r="Q25" s="169">
        <f>P25*O25</f>
        <v>18290</v>
      </c>
    </row>
    <row r="26" spans="1:23" x14ac:dyDescent="0.3">
      <c r="A26" s="128"/>
      <c r="B26" s="124"/>
      <c r="C26" s="124"/>
      <c r="D26" s="124"/>
      <c r="E26" s="124"/>
      <c r="F26" s="124"/>
      <c r="G26" s="124"/>
      <c r="H26" s="124"/>
      <c r="I26" s="124"/>
      <c r="J26" s="124"/>
      <c r="K26" s="124" t="s">
        <v>31</v>
      </c>
      <c r="L26" s="116">
        <f>D30</f>
        <v>320</v>
      </c>
      <c r="M26" s="124">
        <f>VLOOKUP(K26,'list of materials'!B:E,4,0)</f>
        <v>25</v>
      </c>
      <c r="N26" s="151">
        <f>M26*L26</f>
        <v>8000</v>
      </c>
      <c r="O26" s="116">
        <f>H30</f>
        <v>320</v>
      </c>
      <c r="P26" s="124">
        <f>VLOOKUP(K26,'list of materials'!B:F,5,0)</f>
        <v>27</v>
      </c>
      <c r="Q26" s="169">
        <f>P26*O26</f>
        <v>8640</v>
      </c>
    </row>
    <row r="27" spans="1:23" x14ac:dyDescent="0.3">
      <c r="A27" s="128"/>
      <c r="B27" s="124"/>
      <c r="C27" s="124"/>
      <c r="D27" s="224" t="s">
        <v>25</v>
      </c>
      <c r="E27" s="224"/>
      <c r="F27" s="224"/>
      <c r="G27" s="224"/>
      <c r="H27" s="224"/>
      <c r="I27" s="224"/>
      <c r="J27" s="124"/>
      <c r="K27" s="124" t="s">
        <v>32</v>
      </c>
      <c r="L27" s="116">
        <f>D31</f>
        <v>95</v>
      </c>
      <c r="M27" s="124">
        <f>VLOOKUP(K27,'list of materials'!B:E,4,0)</f>
        <v>15</v>
      </c>
      <c r="N27" s="151">
        <f>M27*L27</f>
        <v>1425</v>
      </c>
      <c r="O27" s="116">
        <f>H31</f>
        <v>95</v>
      </c>
      <c r="P27" s="124">
        <f>VLOOKUP(K27,'list of materials'!B:F,5,0)</f>
        <v>16</v>
      </c>
      <c r="Q27" s="169">
        <f>P27*O27</f>
        <v>1520</v>
      </c>
    </row>
    <row r="28" spans="1:23" x14ac:dyDescent="0.3">
      <c r="A28" s="129" t="s">
        <v>15</v>
      </c>
      <c r="B28" s="130" t="s">
        <v>27</v>
      </c>
      <c r="C28" s="130" t="s">
        <v>59</v>
      </c>
      <c r="D28" s="131" t="s">
        <v>141</v>
      </c>
      <c r="E28" s="132" t="s">
        <v>9</v>
      </c>
      <c r="F28" s="132" t="s">
        <v>10</v>
      </c>
      <c r="G28" s="133" t="s">
        <v>11</v>
      </c>
      <c r="H28" s="131" t="s">
        <v>142</v>
      </c>
      <c r="I28" s="133" t="s">
        <v>26</v>
      </c>
      <c r="J28" s="124"/>
      <c r="K28" s="124"/>
      <c r="L28" s="116"/>
      <c r="M28" s="124"/>
      <c r="N28" s="151"/>
      <c r="O28" s="116"/>
      <c r="P28" s="124"/>
      <c r="Q28" s="169"/>
    </row>
    <row r="29" spans="1:23" x14ac:dyDescent="0.3">
      <c r="A29" s="128" t="s">
        <v>3</v>
      </c>
      <c r="B29" s="124" t="s">
        <v>12</v>
      </c>
      <c r="C29" s="124">
        <f>'list of materials'!A5</f>
        <v>867156</v>
      </c>
      <c r="D29" s="116">
        <v>590</v>
      </c>
      <c r="E29" s="124">
        <v>590</v>
      </c>
      <c r="F29" s="124">
        <v>590</v>
      </c>
      <c r="G29" s="117">
        <v>590</v>
      </c>
      <c r="H29" s="116">
        <v>590</v>
      </c>
      <c r="I29" s="117">
        <v>590</v>
      </c>
      <c r="J29" s="124"/>
      <c r="K29" s="130" t="s">
        <v>28</v>
      </c>
      <c r="L29" s="134"/>
      <c r="M29" s="183">
        <f>N29/D24</f>
        <v>25.945</v>
      </c>
      <c r="N29" s="170">
        <f>SUM(N25:N27)</f>
        <v>25945</v>
      </c>
      <c r="O29" s="134"/>
      <c r="P29" s="183">
        <f>Q29/D24</f>
        <v>28.45</v>
      </c>
      <c r="Q29" s="171">
        <f>SUM(Q25:Q27)</f>
        <v>28450</v>
      </c>
    </row>
    <row r="30" spans="1:23" x14ac:dyDescent="0.3">
      <c r="A30" s="128" t="s">
        <v>3</v>
      </c>
      <c r="B30" s="124" t="s">
        <v>31</v>
      </c>
      <c r="C30" s="124">
        <f>'list of materials'!A9</f>
        <v>560196</v>
      </c>
      <c r="D30" s="116">
        <v>320</v>
      </c>
      <c r="E30" s="124">
        <v>320</v>
      </c>
      <c r="F30" s="124">
        <v>320</v>
      </c>
      <c r="G30" s="117">
        <v>320</v>
      </c>
      <c r="H30" s="116">
        <v>320</v>
      </c>
      <c r="I30" s="117">
        <v>320</v>
      </c>
      <c r="J30" s="124"/>
      <c r="K30" s="124" t="s">
        <v>19</v>
      </c>
      <c r="L30" s="116"/>
      <c r="M30" s="124" t="s">
        <v>20</v>
      </c>
      <c r="N30" s="151">
        <v>2200</v>
      </c>
      <c r="O30" s="116"/>
      <c r="P30" s="124" t="s">
        <v>20</v>
      </c>
      <c r="Q30" s="169">
        <v>2200</v>
      </c>
    </row>
    <row r="31" spans="1:23" x14ac:dyDescent="0.3">
      <c r="A31" s="128" t="s">
        <v>3</v>
      </c>
      <c r="B31" s="124" t="s">
        <v>32</v>
      </c>
      <c r="C31" s="124">
        <f>'list of materials'!A6</f>
        <v>765190</v>
      </c>
      <c r="D31" s="116">
        <v>95</v>
      </c>
      <c r="E31" s="124">
        <v>95</v>
      </c>
      <c r="F31" s="124">
        <v>95</v>
      </c>
      <c r="G31" s="117">
        <v>95</v>
      </c>
      <c r="H31" s="116">
        <v>95</v>
      </c>
      <c r="I31" s="117">
        <v>95</v>
      </c>
      <c r="J31" s="124"/>
      <c r="K31" s="124" t="s">
        <v>19</v>
      </c>
      <c r="L31" s="116"/>
      <c r="M31" s="124" t="s">
        <v>21</v>
      </c>
      <c r="N31" s="151">
        <v>900</v>
      </c>
      <c r="O31" s="116"/>
      <c r="P31" s="124" t="s">
        <v>21</v>
      </c>
      <c r="Q31" s="169">
        <v>900</v>
      </c>
    </row>
    <row r="32" spans="1:23" x14ac:dyDescent="0.3">
      <c r="A32" s="128"/>
      <c r="B32" s="130" t="s">
        <v>29</v>
      </c>
      <c r="C32" s="130"/>
      <c r="D32" s="134">
        <f t="shared" ref="D32:I32" si="4">SUM(D29:D31)</f>
        <v>1005</v>
      </c>
      <c r="E32" s="130">
        <f t="shared" si="4"/>
        <v>1005</v>
      </c>
      <c r="F32" s="130">
        <f t="shared" si="4"/>
        <v>1005</v>
      </c>
      <c r="G32" s="135">
        <f t="shared" si="4"/>
        <v>1005</v>
      </c>
      <c r="H32" s="134">
        <f t="shared" si="4"/>
        <v>1005</v>
      </c>
      <c r="I32" s="135">
        <f t="shared" si="4"/>
        <v>1005</v>
      </c>
      <c r="J32" s="124"/>
      <c r="K32" s="124" t="s">
        <v>22</v>
      </c>
      <c r="L32" s="116"/>
      <c r="M32" s="124" t="s">
        <v>23</v>
      </c>
      <c r="N32" s="151">
        <v>800</v>
      </c>
      <c r="O32" s="116"/>
      <c r="P32" s="124" t="s">
        <v>23</v>
      </c>
      <c r="Q32" s="169">
        <v>800</v>
      </c>
    </row>
    <row r="33" spans="1:17" ht="15" thickBot="1" x14ac:dyDescent="0.35">
      <c r="A33" s="136"/>
      <c r="B33" s="137" t="s">
        <v>33</v>
      </c>
      <c r="C33" s="137"/>
      <c r="D33" s="138">
        <f t="shared" ref="D33:I33" si="5">D32/$D$24-1</f>
        <v>4.9999999999998934E-3</v>
      </c>
      <c r="E33" s="139">
        <f t="shared" si="5"/>
        <v>4.9999999999998934E-3</v>
      </c>
      <c r="F33" s="139">
        <f t="shared" si="5"/>
        <v>4.9999999999998934E-3</v>
      </c>
      <c r="G33" s="140">
        <f t="shared" si="5"/>
        <v>4.9999999999998934E-3</v>
      </c>
      <c r="H33" s="138">
        <f t="shared" si="5"/>
        <v>4.9999999999998934E-3</v>
      </c>
      <c r="I33" s="140">
        <f t="shared" si="5"/>
        <v>4.9999999999998934E-3</v>
      </c>
      <c r="J33" s="145"/>
      <c r="K33" s="172" t="s">
        <v>24</v>
      </c>
      <c r="L33" s="173"/>
      <c r="M33" s="172">
        <f>N33/D24</f>
        <v>29.844999999999999</v>
      </c>
      <c r="N33" s="174">
        <f>SUM(N29:N32)</f>
        <v>29845</v>
      </c>
      <c r="O33" s="173"/>
      <c r="P33" s="172">
        <f>Q33/D24</f>
        <v>32.35</v>
      </c>
      <c r="Q33" s="175">
        <f>SUM(Q29:Q32)</f>
        <v>32350</v>
      </c>
    </row>
  </sheetData>
  <mergeCells count="9">
    <mergeCell ref="D5:I5"/>
    <mergeCell ref="D27:I27"/>
    <mergeCell ref="D16:I16"/>
    <mergeCell ref="L1:N1"/>
    <mergeCell ref="O1:Q1"/>
    <mergeCell ref="L13:N13"/>
    <mergeCell ref="O13:Q13"/>
    <mergeCell ref="L23:N23"/>
    <mergeCell ref="O23:Q2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45EA3-B473-43A9-96CA-14FE7A310C3E}">
  <sheetPr>
    <tabColor theme="0"/>
  </sheetPr>
  <dimension ref="B2:C9"/>
  <sheetViews>
    <sheetView zoomScale="160" zoomScaleNormal="160" workbookViewId="0">
      <selection activeCell="E17" sqref="E17"/>
    </sheetView>
  </sheetViews>
  <sheetFormatPr defaultColWidth="9.109375" defaultRowHeight="14.4" x14ac:dyDescent="0.3"/>
  <cols>
    <col min="1" max="1" width="9.109375" style="113"/>
    <col min="2" max="2" width="10.6640625" style="113" bestFit="1" customWidth="1"/>
    <col min="3" max="3" width="21.6640625" style="113" bestFit="1" customWidth="1"/>
    <col min="4" max="16384" width="9.109375" style="113"/>
  </cols>
  <sheetData>
    <row r="2" spans="2:3" x14ac:dyDescent="0.3">
      <c r="B2" s="114" t="s">
        <v>45</v>
      </c>
      <c r="C2" s="115" t="s">
        <v>46</v>
      </c>
    </row>
    <row r="3" spans="2:3" x14ac:dyDescent="0.3">
      <c r="B3" s="116" t="s">
        <v>48</v>
      </c>
      <c r="C3" s="117" t="s">
        <v>49</v>
      </c>
    </row>
    <row r="4" spans="2:3" x14ac:dyDescent="0.3">
      <c r="B4" s="116" t="s">
        <v>44</v>
      </c>
      <c r="C4" s="117" t="s">
        <v>47</v>
      </c>
    </row>
    <row r="5" spans="2:3" x14ac:dyDescent="0.3">
      <c r="B5" s="116" t="s">
        <v>50</v>
      </c>
      <c r="C5" s="117" t="s">
        <v>51</v>
      </c>
    </row>
    <row r="6" spans="2:3" x14ac:dyDescent="0.3">
      <c r="B6" s="116" t="s">
        <v>52</v>
      </c>
      <c r="C6" s="117" t="s">
        <v>53</v>
      </c>
    </row>
    <row r="7" spans="2:3" x14ac:dyDescent="0.3">
      <c r="B7" s="116" t="s">
        <v>140</v>
      </c>
      <c r="C7" s="117" t="s">
        <v>139</v>
      </c>
    </row>
    <row r="8" spans="2:3" x14ac:dyDescent="0.3">
      <c r="B8" s="116" t="s">
        <v>55</v>
      </c>
      <c r="C8" s="117" t="s">
        <v>56</v>
      </c>
    </row>
    <row r="9" spans="2:3" x14ac:dyDescent="0.3">
      <c r="B9" s="118" t="s">
        <v>90</v>
      </c>
      <c r="C9" s="119" t="s">
        <v>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9A753-276F-4466-9D41-37C6E6B6ADE6}">
  <sheetPr>
    <tabColor theme="0"/>
  </sheetPr>
  <dimension ref="A1:K116"/>
  <sheetViews>
    <sheetView zoomScale="115" zoomScaleNormal="115" workbookViewId="0">
      <pane ySplit="1" topLeftCell="A2" activePane="bottomLeft" state="frozen"/>
      <selection activeCell="M36" sqref="M36"/>
      <selection pane="bottomLeft" activeCell="K3" sqref="K3"/>
    </sheetView>
  </sheetViews>
  <sheetFormatPr defaultColWidth="9.109375" defaultRowHeight="14.4" x14ac:dyDescent="0.3"/>
  <cols>
    <col min="1" max="1" width="10.44140625" style="113" bestFit="1" customWidth="1"/>
    <col min="2" max="2" width="9.109375" style="113"/>
    <col min="3" max="3" width="14.88671875" style="113" bestFit="1" customWidth="1"/>
    <col min="4" max="4" width="14.88671875" style="113" customWidth="1"/>
    <col min="5" max="5" width="6.44140625" style="113" customWidth="1"/>
    <col min="6" max="6" width="19" style="113" bestFit="1" customWidth="1"/>
    <col min="7" max="7" width="10.88671875" style="113" bestFit="1" customWidth="1"/>
    <col min="8" max="8" width="18.44140625" style="113" bestFit="1" customWidth="1"/>
    <col min="9" max="10" width="9.109375" style="113"/>
    <col min="11" max="11" width="21" style="113" bestFit="1" customWidth="1"/>
    <col min="12" max="16384" width="9.109375" style="113"/>
  </cols>
  <sheetData>
    <row r="1" spans="1:11" x14ac:dyDescent="0.3">
      <c r="A1" s="146" t="s">
        <v>57</v>
      </c>
      <c r="B1" s="146" t="s">
        <v>34</v>
      </c>
      <c r="C1" s="146" t="s">
        <v>60</v>
      </c>
      <c r="D1" s="146" t="s">
        <v>98</v>
      </c>
      <c r="E1" s="146" t="s">
        <v>61</v>
      </c>
      <c r="F1" s="146" t="s">
        <v>79</v>
      </c>
      <c r="G1" s="146" t="s">
        <v>45</v>
      </c>
      <c r="H1" s="146" t="s">
        <v>74</v>
      </c>
      <c r="I1" s="146" t="s">
        <v>75</v>
      </c>
      <c r="J1" s="146" t="s">
        <v>78</v>
      </c>
      <c r="K1" s="146" t="s">
        <v>76</v>
      </c>
    </row>
    <row r="2" spans="1:11" x14ac:dyDescent="0.3">
      <c r="A2" s="113" t="s">
        <v>77</v>
      </c>
      <c r="B2" s="113">
        <v>867156</v>
      </c>
      <c r="C2" s="113" t="str">
        <f>VLOOKUP(B2,'list of materials'!A:B,2,0)</f>
        <v>Chocolate mass</v>
      </c>
      <c r="D2" s="113" t="str">
        <f>VLOOKUP(B2,'list of materials'!A:C,3,0)</f>
        <v>RM</v>
      </c>
      <c r="E2" s="113" t="s">
        <v>71</v>
      </c>
      <c r="F2" s="113" t="str">
        <f>VLOOKUP(E2,SL!B:C,2,0)</f>
        <v>Inbound warehouse</v>
      </c>
      <c r="G2" s="113" t="s">
        <v>48</v>
      </c>
      <c r="H2" s="113" t="str">
        <f>VLOOKUP(G2,'MvT types'!B:C,2,0)</f>
        <v>reception</v>
      </c>
      <c r="I2" s="156">
        <v>2481</v>
      </c>
      <c r="J2" s="189">
        <f>VLOOKUP(B2,'list of materials'!A:E,5,0)</f>
        <v>28</v>
      </c>
      <c r="K2" s="156">
        <f>I2*J2</f>
        <v>69468</v>
      </c>
    </row>
    <row r="3" spans="1:11" x14ac:dyDescent="0.3">
      <c r="A3" s="113" t="s">
        <v>77</v>
      </c>
      <c r="B3" s="113">
        <v>765190</v>
      </c>
      <c r="C3" s="113" t="str">
        <f>VLOOKUP(B3,'list of materials'!A:B,2,0)</f>
        <v>Caramel</v>
      </c>
      <c r="D3" s="113" t="str">
        <f>VLOOKUP(B3,'list of materials'!A:C,3,0)</f>
        <v>RM</v>
      </c>
      <c r="E3" s="113" t="s">
        <v>71</v>
      </c>
      <c r="F3" s="113" t="str">
        <f>VLOOKUP(E3,SL!B:C,2,0)</f>
        <v>Inbound warehouse</v>
      </c>
      <c r="G3" s="113" t="s">
        <v>48</v>
      </c>
      <c r="H3" s="113" t="str">
        <f>VLOOKUP(G3,'MvT types'!B:C,2,0)</f>
        <v>reception</v>
      </c>
      <c r="I3" s="156">
        <v>198</v>
      </c>
      <c r="J3" s="189">
        <f>VLOOKUP(B3,'list of materials'!A:E,5,0)</f>
        <v>15</v>
      </c>
      <c r="K3" s="156">
        <f>I3*J3</f>
        <v>2970</v>
      </c>
    </row>
    <row r="4" spans="1:11" x14ac:dyDescent="0.3">
      <c r="A4" s="113" t="s">
        <v>77</v>
      </c>
      <c r="B4" s="113">
        <v>657341</v>
      </c>
      <c r="C4" s="113" t="str">
        <f>VLOOKUP(B4,'list of materials'!A:B,2,0)</f>
        <v>Raw Peanut</v>
      </c>
      <c r="D4" s="113" t="str">
        <f>VLOOKUP(B4,'list of materials'!A:C,3,0)</f>
        <v>RM</v>
      </c>
      <c r="E4" s="113" t="s">
        <v>71</v>
      </c>
      <c r="F4" s="113" t="str">
        <f>VLOOKUP(E4,SL!B:C,2,0)</f>
        <v>Inbound warehouse</v>
      </c>
      <c r="G4" s="113" t="s">
        <v>48</v>
      </c>
      <c r="H4" s="113" t="str">
        <f>VLOOKUP(G4,'MvT types'!B:C,2,0)</f>
        <v>reception</v>
      </c>
      <c r="I4" s="156">
        <v>89.5</v>
      </c>
      <c r="J4" s="189">
        <f>VLOOKUP(B4,'list of materials'!A:E,5,0)</f>
        <v>25</v>
      </c>
      <c r="K4" s="156">
        <f>I4*J4</f>
        <v>2237.5</v>
      </c>
    </row>
    <row r="5" spans="1:11" x14ac:dyDescent="0.3">
      <c r="A5" s="113" t="s">
        <v>77</v>
      </c>
      <c r="B5" s="113">
        <v>560196</v>
      </c>
      <c r="C5" s="113" t="str">
        <f>VLOOKUP(B5,'list of materials'!A:B,2,0)</f>
        <v>Biscuit</v>
      </c>
      <c r="D5" s="113" t="str">
        <f>VLOOKUP(B5,'list of materials'!A:C,3,0)</f>
        <v>RM</v>
      </c>
      <c r="E5" s="113" t="s">
        <v>71</v>
      </c>
      <c r="F5" s="113" t="str">
        <f>VLOOKUP(E5,SL!B:C,2,0)</f>
        <v>Inbound warehouse</v>
      </c>
      <c r="G5" s="113" t="s">
        <v>48</v>
      </c>
      <c r="H5" s="113" t="str">
        <f>VLOOKUP(G5,'MvT types'!B:C,2,0)</f>
        <v>reception</v>
      </c>
      <c r="I5" s="156">
        <v>330</v>
      </c>
      <c r="J5" s="189">
        <f>VLOOKUP(B5,'list of materials'!A:E,5,0)</f>
        <v>25</v>
      </c>
      <c r="K5" s="156">
        <f>I5*J5</f>
        <v>8250</v>
      </c>
    </row>
    <row r="6" spans="1:11" x14ac:dyDescent="0.3">
      <c r="A6" s="113" t="s">
        <v>77</v>
      </c>
      <c r="B6" s="113">
        <v>560196</v>
      </c>
      <c r="C6" s="113" t="str">
        <f>VLOOKUP(B6,'list of materials'!A:B,2,0)</f>
        <v>Biscuit</v>
      </c>
      <c r="D6" s="113" t="str">
        <f>VLOOKUP(B6,'list of materials'!A:C,3,0)</f>
        <v>RM</v>
      </c>
      <c r="E6" s="113" t="s">
        <v>71</v>
      </c>
      <c r="F6" s="113" t="str">
        <f>VLOOKUP(E6,SL!B:C,2,0)</f>
        <v>Inbound warehouse</v>
      </c>
      <c r="G6" s="113" t="s">
        <v>48</v>
      </c>
      <c r="H6" s="113" t="str">
        <f>VLOOKUP(G6,'MvT types'!B:C,2,0)</f>
        <v>reception</v>
      </c>
      <c r="I6" s="156">
        <v>-100</v>
      </c>
      <c r="J6" s="189">
        <f>VLOOKUP(B6,'list of materials'!A:E,5,0)</f>
        <v>25</v>
      </c>
      <c r="K6" s="156">
        <f>I6*J6</f>
        <v>-2500</v>
      </c>
    </row>
    <row r="7" spans="1:11" x14ac:dyDescent="0.3">
      <c r="A7" s="113" t="s">
        <v>81</v>
      </c>
      <c r="B7" s="113">
        <v>120301</v>
      </c>
      <c r="C7" s="113" t="str">
        <f>VLOOKUP(B7,'list of materials'!A:B,2,0)</f>
        <v>Fint</v>
      </c>
      <c r="D7" s="113" t="str">
        <f>VLOOKUP(B7,'list of materials'!A:C,3,0)</f>
        <v>FG</v>
      </c>
      <c r="E7" s="113" t="s">
        <v>69</v>
      </c>
      <c r="F7" s="113" t="str">
        <f>VLOOKUP(E7,SL!B:C,2,0)</f>
        <v>Palletizer</v>
      </c>
      <c r="G7" s="113" t="s">
        <v>52</v>
      </c>
      <c r="H7" s="113" t="str">
        <f>VLOOKUP(G7,'MvT types'!B:C,2,0)</f>
        <v>goods production</v>
      </c>
      <c r="I7" s="113">
        <v>510</v>
      </c>
      <c r="J7" s="189">
        <f>VLOOKUP(B7,'list of materials'!A:E,5,0)</f>
        <v>27.24775</v>
      </c>
      <c r="K7" s="156">
        <f t="shared" ref="K7:K15" si="0">I7*J7</f>
        <v>13896.352499999999</v>
      </c>
    </row>
    <row r="8" spans="1:11" x14ac:dyDescent="0.3">
      <c r="A8" s="113" t="s">
        <v>81</v>
      </c>
      <c r="B8" s="113">
        <v>156212</v>
      </c>
      <c r="C8" s="113" t="str">
        <f>VLOOKUP(B8,'list of materials'!A:B,2,0)</f>
        <v>Step</v>
      </c>
      <c r="D8" s="113" t="str">
        <f>VLOOKUP(B8,'list of materials'!A:C,3,0)</f>
        <v>FG</v>
      </c>
      <c r="E8" s="113" t="s">
        <v>69</v>
      </c>
      <c r="F8" s="113" t="str">
        <f>VLOOKUP(E8,SL!B:C,2,0)</f>
        <v>Palletizer</v>
      </c>
      <c r="G8" s="113" t="s">
        <v>52</v>
      </c>
      <c r="H8" s="113" t="str">
        <f>VLOOKUP(G8,'MvT types'!B:C,2,0)</f>
        <v>goods production</v>
      </c>
      <c r="I8" s="113">
        <v>1000</v>
      </c>
      <c r="J8" s="189">
        <f>VLOOKUP(B8,'list of materials'!A:E,5,0)</f>
        <v>25.945</v>
      </c>
      <c r="K8" s="156">
        <f t="shared" si="0"/>
        <v>25945</v>
      </c>
    </row>
    <row r="9" spans="1:11" x14ac:dyDescent="0.3">
      <c r="A9" s="113" t="s">
        <v>81</v>
      </c>
      <c r="B9" s="113">
        <v>876145</v>
      </c>
      <c r="C9" s="113" t="str">
        <f>VLOOKUP(B9,'list of materials'!A:B,2,0)</f>
        <v>Fried Peanut</v>
      </c>
      <c r="D9" s="113" t="str">
        <f>VLOOKUP(B9,'list of materials'!A:C,3,0)</f>
        <v>SFG</v>
      </c>
      <c r="E9" s="113" t="s">
        <v>63</v>
      </c>
      <c r="F9" s="113" t="str">
        <f>VLOOKUP(E9,SL!B:C,2,0)</f>
        <v>Nut plant</v>
      </c>
      <c r="G9" s="113" t="s">
        <v>52</v>
      </c>
      <c r="H9" s="113" t="str">
        <f>VLOOKUP(G9,'MvT types'!B:C,2,0)</f>
        <v>goods production</v>
      </c>
      <c r="I9" s="113">
        <v>110</v>
      </c>
      <c r="J9" s="189">
        <f>VLOOKUP(B9,'list of materials'!A:E,5,0)</f>
        <v>28.75</v>
      </c>
      <c r="K9" s="156">
        <f t="shared" si="0"/>
        <v>3162.5</v>
      </c>
    </row>
    <row r="10" spans="1:11" x14ac:dyDescent="0.3">
      <c r="A10" s="113" t="s">
        <v>82</v>
      </c>
      <c r="B10" s="113">
        <v>120301</v>
      </c>
      <c r="C10" s="113" t="str">
        <f>VLOOKUP(B10,'list of materials'!A:B,2,0)</f>
        <v>Fint</v>
      </c>
      <c r="D10" s="113" t="str">
        <f>VLOOKUP(B10,'list of materials'!A:C,3,0)</f>
        <v>FG</v>
      </c>
      <c r="E10" s="113" t="s">
        <v>69</v>
      </c>
      <c r="F10" s="113" t="str">
        <f>VLOOKUP(E10,SL!B:C,2,0)</f>
        <v>Palletizer</v>
      </c>
      <c r="G10" s="113" t="s">
        <v>52</v>
      </c>
      <c r="H10" s="113" t="str">
        <f>VLOOKUP(G10,'MvT types'!B:C,2,0)</f>
        <v>goods production</v>
      </c>
      <c r="I10" s="113">
        <v>800</v>
      </c>
      <c r="J10" s="189">
        <f>VLOOKUP(B10,'list of materials'!A:E,5,0)</f>
        <v>27.24775</v>
      </c>
      <c r="K10" s="156">
        <f t="shared" si="0"/>
        <v>21798.2</v>
      </c>
    </row>
    <row r="11" spans="1:11" x14ac:dyDescent="0.3">
      <c r="A11" s="113" t="s">
        <v>82</v>
      </c>
      <c r="B11" s="113">
        <v>156212</v>
      </c>
      <c r="C11" s="113" t="str">
        <f>VLOOKUP(B11,'list of materials'!A:B,2,0)</f>
        <v>Step</v>
      </c>
      <c r="D11" s="113" t="str">
        <f>VLOOKUP(B11,'list of materials'!A:C,3,0)</f>
        <v>FG</v>
      </c>
      <c r="E11" s="113" t="s">
        <v>69</v>
      </c>
      <c r="F11" s="113" t="str">
        <f>VLOOKUP(E11,SL!B:C,2,0)</f>
        <v>Palletizer</v>
      </c>
      <c r="G11" s="113" t="s">
        <v>52</v>
      </c>
      <c r="H11" s="113" t="str">
        <f>VLOOKUP(G11,'MvT types'!B:C,2,0)</f>
        <v>goods production</v>
      </c>
      <c r="I11" s="113">
        <v>1500</v>
      </c>
      <c r="J11" s="189">
        <f>VLOOKUP(B11,'list of materials'!A:E,5,0)</f>
        <v>25.945</v>
      </c>
      <c r="K11" s="156">
        <f t="shared" si="0"/>
        <v>38917.5</v>
      </c>
    </row>
    <row r="12" spans="1:11" x14ac:dyDescent="0.3">
      <c r="A12" s="113" t="s">
        <v>82</v>
      </c>
      <c r="B12" s="113">
        <v>876145</v>
      </c>
      <c r="C12" s="113" t="str">
        <f>VLOOKUP(B12,'list of materials'!A:B,2,0)</f>
        <v>Fried Peanut</v>
      </c>
      <c r="D12" s="113" t="str">
        <f>VLOOKUP(B12,'list of materials'!A:C,3,0)</f>
        <v>SFG</v>
      </c>
      <c r="E12" s="113" t="s">
        <v>63</v>
      </c>
      <c r="F12" s="113" t="str">
        <f>VLOOKUP(E12,SL!B:C,2,0)</f>
        <v>Nut plant</v>
      </c>
      <c r="G12" s="113" t="s">
        <v>52</v>
      </c>
      <c r="H12" s="113" t="str">
        <f>VLOOKUP(G12,'MvT types'!B:C,2,0)</f>
        <v>goods production</v>
      </c>
      <c r="I12" s="113">
        <v>205.05</v>
      </c>
      <c r="J12" s="189">
        <f>VLOOKUP(B12,'list of materials'!A:E,5,0)</f>
        <v>28.75</v>
      </c>
      <c r="K12" s="156">
        <f t="shared" si="0"/>
        <v>5895.1875</v>
      </c>
    </row>
    <row r="13" spans="1:11" x14ac:dyDescent="0.3">
      <c r="A13" s="113" t="s">
        <v>83</v>
      </c>
      <c r="B13" s="113">
        <v>120301</v>
      </c>
      <c r="C13" s="113" t="str">
        <f>VLOOKUP(B13,'list of materials'!A:B,2,0)</f>
        <v>Fint</v>
      </c>
      <c r="D13" s="113" t="str">
        <f>VLOOKUP(B13,'list of materials'!A:C,3,0)</f>
        <v>FG</v>
      </c>
      <c r="E13" s="113" t="s">
        <v>69</v>
      </c>
      <c r="F13" s="113" t="str">
        <f>VLOOKUP(E13,SL!B:C,2,0)</f>
        <v>Palletizer</v>
      </c>
      <c r="G13" s="113" t="s">
        <v>52</v>
      </c>
      <c r="H13" s="113" t="str">
        <f>VLOOKUP(G13,'MvT types'!B:C,2,0)</f>
        <v>goods production</v>
      </c>
      <c r="I13" s="113">
        <v>700</v>
      </c>
      <c r="J13" s="189">
        <f>VLOOKUP(B13,'list of materials'!A:F,6,0)</f>
        <v>29.259799999999998</v>
      </c>
      <c r="K13" s="156">
        <f t="shared" si="0"/>
        <v>20481.86</v>
      </c>
    </row>
    <row r="14" spans="1:11" x14ac:dyDescent="0.3">
      <c r="A14" s="113" t="s">
        <v>83</v>
      </c>
      <c r="B14" s="113">
        <v>156212</v>
      </c>
      <c r="C14" s="113" t="str">
        <f>VLOOKUP(B14,'list of materials'!A:B,2,0)</f>
        <v>Step</v>
      </c>
      <c r="D14" s="113" t="str">
        <f>VLOOKUP(B14,'list of materials'!A:C,3,0)</f>
        <v>FG</v>
      </c>
      <c r="E14" s="113" t="s">
        <v>69</v>
      </c>
      <c r="F14" s="113" t="str">
        <f>VLOOKUP(E14,SL!B:C,2,0)</f>
        <v>Palletizer</v>
      </c>
      <c r="G14" s="113" t="s">
        <v>52</v>
      </c>
      <c r="H14" s="113" t="str">
        <f>VLOOKUP(G14,'MvT types'!B:C,2,0)</f>
        <v>goods production</v>
      </c>
      <c r="I14" s="113">
        <v>303</v>
      </c>
      <c r="J14" s="189">
        <f>VLOOKUP(B14,'list of materials'!A:F,6,0)</f>
        <v>28.45</v>
      </c>
      <c r="K14" s="156">
        <f t="shared" si="0"/>
        <v>8620.35</v>
      </c>
    </row>
    <row r="15" spans="1:11" x14ac:dyDescent="0.3">
      <c r="A15" s="113" t="s">
        <v>83</v>
      </c>
      <c r="B15" s="113">
        <v>876145</v>
      </c>
      <c r="C15" s="113" t="str">
        <f>VLOOKUP(B15,'list of materials'!A:B,2,0)</f>
        <v>Fried Peanut</v>
      </c>
      <c r="D15" s="113" t="str">
        <f>VLOOKUP(B15,'list of materials'!A:C,3,0)</f>
        <v>SFG</v>
      </c>
      <c r="E15" s="113" t="s">
        <v>63</v>
      </c>
      <c r="F15" s="113" t="str">
        <f>VLOOKUP(E15,SL!B:C,2,0)</f>
        <v>Nut plant</v>
      </c>
      <c r="G15" s="113" t="s">
        <v>52</v>
      </c>
      <c r="H15" s="113" t="str">
        <f>VLOOKUP(G15,'MvT types'!B:C,2,0)</f>
        <v>goods production</v>
      </c>
      <c r="I15" s="113">
        <v>100</v>
      </c>
      <c r="J15" s="189">
        <f>VLOOKUP(B15,'list of materials'!A:F,6,0)</f>
        <v>27.6</v>
      </c>
      <c r="K15" s="156">
        <f t="shared" si="0"/>
        <v>2760</v>
      </c>
    </row>
    <row r="16" spans="1:11" x14ac:dyDescent="0.3">
      <c r="A16" s="113" t="s">
        <v>81</v>
      </c>
      <c r="B16" s="113">
        <v>120301</v>
      </c>
      <c r="C16" s="113" t="str">
        <f>VLOOKUP(B16,'list of materials'!A:B,2,0)</f>
        <v>Fint</v>
      </c>
      <c r="D16" s="113" t="str">
        <f>VLOOKUP(B16,'list of materials'!A:C,3,0)</f>
        <v>FG</v>
      </c>
      <c r="E16" s="113" t="s">
        <v>69</v>
      </c>
      <c r="F16" s="113" t="str">
        <f>VLOOKUP(E16,SL!B:C,2,0)</f>
        <v>Palletizer</v>
      </c>
      <c r="G16" s="113" t="s">
        <v>50</v>
      </c>
      <c r="H16" s="113" t="str">
        <f>VLOOKUP(G16,'MvT types'!B:C,2,0)</f>
        <v>internal movement</v>
      </c>
      <c r="I16" s="113">
        <v>-510</v>
      </c>
      <c r="J16" s="189">
        <f>VLOOKUP(B16,'list of materials'!A:E,5,0)</f>
        <v>27.24775</v>
      </c>
      <c r="K16" s="156">
        <f t="shared" ref="K16:K26" si="1">I16*J16</f>
        <v>-13896.352499999999</v>
      </c>
    </row>
    <row r="17" spans="1:11" x14ac:dyDescent="0.3">
      <c r="A17" s="113" t="s">
        <v>81</v>
      </c>
      <c r="B17" s="113">
        <v>156212</v>
      </c>
      <c r="C17" s="113" t="str">
        <f>VLOOKUP(B17,'list of materials'!A:B,2,0)</f>
        <v>Step</v>
      </c>
      <c r="D17" s="113" t="str">
        <f>VLOOKUP(B17,'list of materials'!A:C,3,0)</f>
        <v>FG</v>
      </c>
      <c r="E17" s="113" t="s">
        <v>69</v>
      </c>
      <c r="F17" s="113" t="str">
        <f>VLOOKUP(E17,SL!B:C,2,0)</f>
        <v>Palletizer</v>
      </c>
      <c r="G17" s="113" t="s">
        <v>50</v>
      </c>
      <c r="H17" s="113" t="str">
        <f>VLOOKUP(G17,'MvT types'!B:C,2,0)</f>
        <v>internal movement</v>
      </c>
      <c r="I17" s="113">
        <v>-1000</v>
      </c>
      <c r="J17" s="189">
        <f>VLOOKUP(B17,'list of materials'!A:E,5,0)</f>
        <v>25.945</v>
      </c>
      <c r="K17" s="156">
        <f t="shared" si="1"/>
        <v>-25945</v>
      </c>
    </row>
    <row r="18" spans="1:11" x14ac:dyDescent="0.3">
      <c r="A18" s="113" t="s">
        <v>82</v>
      </c>
      <c r="B18" s="113">
        <v>120301</v>
      </c>
      <c r="C18" s="113" t="str">
        <f>VLOOKUP(B18,'list of materials'!A:B,2,0)</f>
        <v>Fint</v>
      </c>
      <c r="D18" s="113" t="str">
        <f>VLOOKUP(B18,'list of materials'!A:C,3,0)</f>
        <v>FG</v>
      </c>
      <c r="E18" s="113" t="s">
        <v>69</v>
      </c>
      <c r="F18" s="113" t="str">
        <f>VLOOKUP(E18,SL!B:C,2,0)</f>
        <v>Palletizer</v>
      </c>
      <c r="G18" s="113" t="s">
        <v>50</v>
      </c>
      <c r="H18" s="113" t="str">
        <f>VLOOKUP(G18,'MvT types'!B:C,2,0)</f>
        <v>internal movement</v>
      </c>
      <c r="I18" s="113">
        <v>-800</v>
      </c>
      <c r="J18" s="189">
        <f>VLOOKUP(B18,'list of materials'!A:E,5,0)</f>
        <v>27.24775</v>
      </c>
      <c r="K18" s="156">
        <f t="shared" si="1"/>
        <v>-21798.2</v>
      </c>
    </row>
    <row r="19" spans="1:11" x14ac:dyDescent="0.3">
      <c r="A19" s="113" t="s">
        <v>82</v>
      </c>
      <c r="B19" s="113">
        <v>156212</v>
      </c>
      <c r="C19" s="113" t="str">
        <f>VLOOKUP(B19,'list of materials'!A:B,2,0)</f>
        <v>Step</v>
      </c>
      <c r="D19" s="113" t="str">
        <f>VLOOKUP(B19,'list of materials'!A:C,3,0)</f>
        <v>FG</v>
      </c>
      <c r="E19" s="113" t="s">
        <v>69</v>
      </c>
      <c r="F19" s="113" t="str">
        <f>VLOOKUP(E19,SL!B:C,2,0)</f>
        <v>Palletizer</v>
      </c>
      <c r="G19" s="113" t="s">
        <v>50</v>
      </c>
      <c r="H19" s="113" t="str">
        <f>VLOOKUP(G19,'MvT types'!B:C,2,0)</f>
        <v>internal movement</v>
      </c>
      <c r="I19" s="113">
        <v>-1500</v>
      </c>
      <c r="J19" s="189">
        <f>VLOOKUP(B19,'list of materials'!A:E,5,0)</f>
        <v>25.945</v>
      </c>
      <c r="K19" s="156">
        <f t="shared" si="1"/>
        <v>-38917.5</v>
      </c>
    </row>
    <row r="20" spans="1:11" x14ac:dyDescent="0.3">
      <c r="A20" s="113" t="s">
        <v>83</v>
      </c>
      <c r="B20" s="113">
        <v>120301</v>
      </c>
      <c r="C20" s="113" t="str">
        <f>VLOOKUP(B20,'list of materials'!A:B,2,0)</f>
        <v>Fint</v>
      </c>
      <c r="D20" s="113" t="str">
        <f>VLOOKUP(B20,'list of materials'!A:C,3,0)</f>
        <v>FG</v>
      </c>
      <c r="E20" s="113" t="s">
        <v>69</v>
      </c>
      <c r="F20" s="113" t="str">
        <f>VLOOKUP(E20,SL!B:C,2,0)</f>
        <v>Palletizer</v>
      </c>
      <c r="G20" s="113" t="s">
        <v>50</v>
      </c>
      <c r="H20" s="113" t="str">
        <f>VLOOKUP(G20,'MvT types'!B:C,2,0)</f>
        <v>internal movement</v>
      </c>
      <c r="I20" s="113">
        <v>-700</v>
      </c>
      <c r="J20" s="189">
        <f>VLOOKUP(B20,'list of materials'!A:F,6,0)</f>
        <v>29.259799999999998</v>
      </c>
      <c r="K20" s="156">
        <f t="shared" si="1"/>
        <v>-20481.86</v>
      </c>
    </row>
    <row r="21" spans="1:11" x14ac:dyDescent="0.3">
      <c r="A21" s="113" t="s">
        <v>83</v>
      </c>
      <c r="B21" s="113">
        <v>156212</v>
      </c>
      <c r="C21" s="113" t="str">
        <f>VLOOKUP(B21,'list of materials'!A:B,2,0)</f>
        <v>Step</v>
      </c>
      <c r="D21" s="113" t="str">
        <f>VLOOKUP(B21,'list of materials'!A:C,3,0)</f>
        <v>FG</v>
      </c>
      <c r="E21" s="113" t="s">
        <v>69</v>
      </c>
      <c r="F21" s="113" t="str">
        <f>VLOOKUP(E21,SL!B:C,2,0)</f>
        <v>Palletizer</v>
      </c>
      <c r="G21" s="113" t="s">
        <v>50</v>
      </c>
      <c r="H21" s="113" t="str">
        <f>VLOOKUP(G21,'MvT types'!B:C,2,0)</f>
        <v>internal movement</v>
      </c>
      <c r="I21" s="113">
        <v>-303</v>
      </c>
      <c r="J21" s="189">
        <f>VLOOKUP(B21,'list of materials'!A:F,6,0)</f>
        <v>28.45</v>
      </c>
      <c r="K21" s="156">
        <f t="shared" si="1"/>
        <v>-8620.35</v>
      </c>
    </row>
    <row r="22" spans="1:11" x14ac:dyDescent="0.3">
      <c r="A22" s="113" t="s">
        <v>81</v>
      </c>
      <c r="B22" s="113">
        <v>120301</v>
      </c>
      <c r="C22" s="113" t="str">
        <f>VLOOKUP(B22,'list of materials'!A:B,2,0)</f>
        <v>Fint</v>
      </c>
      <c r="D22" s="113" t="str">
        <f>VLOOKUP(B22,'list of materials'!A:C,3,0)</f>
        <v>FG</v>
      </c>
      <c r="E22" s="113" t="s">
        <v>72</v>
      </c>
      <c r="F22" s="113" t="str">
        <f>VLOOKUP(E22,SL!B:C,2,0)</f>
        <v>Outbound warehouse</v>
      </c>
      <c r="G22" s="113" t="s">
        <v>50</v>
      </c>
      <c r="H22" s="113" t="str">
        <f>VLOOKUP(G22,'MvT types'!B:C,2,0)</f>
        <v>internal movement</v>
      </c>
      <c r="I22" s="113">
        <v>510</v>
      </c>
      <c r="J22" s="189">
        <f>VLOOKUP(B22,'list of materials'!A:E,5,0)</f>
        <v>27.24775</v>
      </c>
      <c r="K22" s="156">
        <f t="shared" si="1"/>
        <v>13896.352499999999</v>
      </c>
    </row>
    <row r="23" spans="1:11" x14ac:dyDescent="0.3">
      <c r="A23" s="113" t="s">
        <v>81</v>
      </c>
      <c r="B23" s="113">
        <v>156212</v>
      </c>
      <c r="C23" s="113" t="str">
        <f>VLOOKUP(B23,'list of materials'!A:B,2,0)</f>
        <v>Step</v>
      </c>
      <c r="D23" s="113" t="str">
        <f>VLOOKUP(B23,'list of materials'!A:C,3,0)</f>
        <v>FG</v>
      </c>
      <c r="E23" s="113" t="s">
        <v>72</v>
      </c>
      <c r="F23" s="113" t="str">
        <f>VLOOKUP(E23,SL!B:C,2,0)</f>
        <v>Outbound warehouse</v>
      </c>
      <c r="G23" s="113" t="s">
        <v>50</v>
      </c>
      <c r="H23" s="113" t="str">
        <f>VLOOKUP(G23,'MvT types'!B:C,2,0)</f>
        <v>internal movement</v>
      </c>
      <c r="I23" s="113">
        <v>1000</v>
      </c>
      <c r="J23" s="189">
        <f>VLOOKUP(B23,'list of materials'!A:E,5,0)</f>
        <v>25.945</v>
      </c>
      <c r="K23" s="156">
        <f t="shared" si="1"/>
        <v>25945</v>
      </c>
    </row>
    <row r="24" spans="1:11" x14ac:dyDescent="0.3">
      <c r="A24" s="113" t="s">
        <v>82</v>
      </c>
      <c r="B24" s="113">
        <v>120301</v>
      </c>
      <c r="C24" s="113" t="str">
        <f>VLOOKUP(B24,'list of materials'!A:B,2,0)</f>
        <v>Fint</v>
      </c>
      <c r="D24" s="113" t="str">
        <f>VLOOKUP(B24,'list of materials'!A:C,3,0)</f>
        <v>FG</v>
      </c>
      <c r="E24" s="113" t="s">
        <v>72</v>
      </c>
      <c r="F24" s="113" t="str">
        <f>VLOOKUP(E24,SL!B:C,2,0)</f>
        <v>Outbound warehouse</v>
      </c>
      <c r="G24" s="113" t="s">
        <v>50</v>
      </c>
      <c r="H24" s="113" t="str">
        <f>VLOOKUP(G24,'MvT types'!B:C,2,0)</f>
        <v>internal movement</v>
      </c>
      <c r="I24" s="113">
        <v>800</v>
      </c>
      <c r="J24" s="189">
        <f>VLOOKUP(B24,'list of materials'!A:E,5,0)</f>
        <v>27.24775</v>
      </c>
      <c r="K24" s="156">
        <f t="shared" si="1"/>
        <v>21798.2</v>
      </c>
    </row>
    <row r="25" spans="1:11" x14ac:dyDescent="0.3">
      <c r="A25" s="113" t="s">
        <v>82</v>
      </c>
      <c r="B25" s="113">
        <v>156212</v>
      </c>
      <c r="C25" s="113" t="str">
        <f>VLOOKUP(B25,'list of materials'!A:B,2,0)</f>
        <v>Step</v>
      </c>
      <c r="D25" s="113" t="str">
        <f>VLOOKUP(B25,'list of materials'!A:C,3,0)</f>
        <v>FG</v>
      </c>
      <c r="E25" s="113" t="s">
        <v>72</v>
      </c>
      <c r="F25" s="113" t="str">
        <f>VLOOKUP(E25,SL!B:C,2,0)</f>
        <v>Outbound warehouse</v>
      </c>
      <c r="G25" s="113" t="s">
        <v>50</v>
      </c>
      <c r="H25" s="113" t="str">
        <f>VLOOKUP(G25,'MvT types'!B:C,2,0)</f>
        <v>internal movement</v>
      </c>
      <c r="I25" s="113">
        <v>1500</v>
      </c>
      <c r="J25" s="189">
        <f>VLOOKUP(B25,'list of materials'!A:E,5,0)</f>
        <v>25.945</v>
      </c>
      <c r="K25" s="156">
        <f t="shared" si="1"/>
        <v>38917.5</v>
      </c>
    </row>
    <row r="26" spans="1:11" x14ac:dyDescent="0.3">
      <c r="A26" s="113" t="s">
        <v>83</v>
      </c>
      <c r="B26" s="113">
        <v>120301</v>
      </c>
      <c r="C26" s="113" t="str">
        <f>VLOOKUP(B26,'list of materials'!A:B,2,0)</f>
        <v>Fint</v>
      </c>
      <c r="D26" s="113" t="str">
        <f>VLOOKUP(B26,'list of materials'!A:C,3,0)</f>
        <v>FG</v>
      </c>
      <c r="E26" s="113" t="s">
        <v>72</v>
      </c>
      <c r="F26" s="113" t="str">
        <f>VLOOKUP(E26,SL!B:C,2,0)</f>
        <v>Outbound warehouse</v>
      </c>
      <c r="G26" s="113" t="s">
        <v>50</v>
      </c>
      <c r="H26" s="113" t="str">
        <f>VLOOKUP(G26,'MvT types'!B:C,2,0)</f>
        <v>internal movement</v>
      </c>
      <c r="I26" s="113">
        <v>700</v>
      </c>
      <c r="J26" s="189">
        <f>VLOOKUP(B26,'list of materials'!A:F,6,0)</f>
        <v>29.259799999999998</v>
      </c>
      <c r="K26" s="156">
        <f t="shared" si="1"/>
        <v>20481.86</v>
      </c>
    </row>
    <row r="27" spans="1:11" x14ac:dyDescent="0.3">
      <c r="A27" s="113" t="s">
        <v>83</v>
      </c>
      <c r="B27" s="113">
        <v>156212</v>
      </c>
      <c r="C27" s="113" t="str">
        <f>VLOOKUP(B27,'list of materials'!A:B,2,0)</f>
        <v>Step</v>
      </c>
      <c r="D27" s="113" t="str">
        <f>VLOOKUP(B27,'list of materials'!A:C,3,0)</f>
        <v>FG</v>
      </c>
      <c r="E27" s="113" t="s">
        <v>72</v>
      </c>
      <c r="F27" s="113" t="str">
        <f>VLOOKUP(E27,SL!B:C,2,0)</f>
        <v>Outbound warehouse</v>
      </c>
      <c r="G27" s="113" t="s">
        <v>50</v>
      </c>
      <c r="H27" s="113" t="str">
        <f>VLOOKUP(G27,'MvT types'!B:C,2,0)</f>
        <v>internal movement</v>
      </c>
      <c r="I27" s="113">
        <v>303</v>
      </c>
      <c r="J27" s="189">
        <f>VLOOKUP(B27,'list of materials'!A:F,6,0)</f>
        <v>28.45</v>
      </c>
      <c r="K27" s="156">
        <f t="shared" ref="K27:K33" si="2">I27*J27</f>
        <v>8620.35</v>
      </c>
    </row>
    <row r="28" spans="1:11" x14ac:dyDescent="0.3">
      <c r="A28" s="113" t="s">
        <v>81</v>
      </c>
      <c r="B28" s="113">
        <v>120301</v>
      </c>
      <c r="C28" s="113" t="str">
        <f>VLOOKUP(B28,'list of materials'!A:B,2,0)</f>
        <v>Fint</v>
      </c>
      <c r="D28" s="113" t="str">
        <f>VLOOKUP(B28,'list of materials'!A:C,3,0)</f>
        <v>FG</v>
      </c>
      <c r="E28" s="113" t="s">
        <v>72</v>
      </c>
      <c r="F28" s="113" t="str">
        <f>VLOOKUP(E28,SL!B:C,2,0)</f>
        <v>Outbound warehouse</v>
      </c>
      <c r="G28" s="113" t="s">
        <v>90</v>
      </c>
      <c r="H28" s="113" t="str">
        <f>VLOOKUP(G28,'MvT types'!B:C,2,0)</f>
        <v>dispatch</v>
      </c>
      <c r="I28" s="113">
        <v>-300</v>
      </c>
      <c r="J28" s="189">
        <f>VLOOKUP(B28,'list of materials'!A:E,5,0)</f>
        <v>27.24775</v>
      </c>
      <c r="K28" s="156">
        <f t="shared" si="2"/>
        <v>-8174.3249999999998</v>
      </c>
    </row>
    <row r="29" spans="1:11" x14ac:dyDescent="0.3">
      <c r="A29" s="113" t="s">
        <v>81</v>
      </c>
      <c r="B29" s="113">
        <v>156212</v>
      </c>
      <c r="C29" s="113" t="str">
        <f>VLOOKUP(B29,'list of materials'!A:B,2,0)</f>
        <v>Step</v>
      </c>
      <c r="D29" s="113" t="str">
        <f>VLOOKUP(B29,'list of materials'!A:C,3,0)</f>
        <v>FG</v>
      </c>
      <c r="E29" s="113" t="s">
        <v>72</v>
      </c>
      <c r="F29" s="113" t="str">
        <f>VLOOKUP(E29,SL!B:C,2,0)</f>
        <v>Outbound warehouse</v>
      </c>
      <c r="G29" s="113" t="s">
        <v>90</v>
      </c>
      <c r="H29" s="113" t="str">
        <f>VLOOKUP(G29,'MvT types'!B:C,2,0)</f>
        <v>dispatch</v>
      </c>
      <c r="I29" s="113">
        <v>-500</v>
      </c>
      <c r="J29" s="189">
        <f>VLOOKUP(B29,'list of materials'!A:E,5,0)</f>
        <v>25.945</v>
      </c>
      <c r="K29" s="156">
        <f t="shared" si="2"/>
        <v>-12972.5</v>
      </c>
    </row>
    <row r="30" spans="1:11" x14ac:dyDescent="0.3">
      <c r="A30" s="113" t="s">
        <v>82</v>
      </c>
      <c r="B30" s="113">
        <v>120301</v>
      </c>
      <c r="C30" s="113" t="str">
        <f>VLOOKUP(B30,'list of materials'!A:B,2,0)</f>
        <v>Fint</v>
      </c>
      <c r="D30" s="113" t="str">
        <f>VLOOKUP(B30,'list of materials'!A:C,3,0)</f>
        <v>FG</v>
      </c>
      <c r="E30" s="113" t="s">
        <v>72</v>
      </c>
      <c r="F30" s="113" t="str">
        <f>VLOOKUP(E30,SL!B:C,2,0)</f>
        <v>Outbound warehouse</v>
      </c>
      <c r="G30" s="113" t="s">
        <v>90</v>
      </c>
      <c r="H30" s="113" t="str">
        <f>VLOOKUP(G30,'MvT types'!B:C,2,0)</f>
        <v>dispatch</v>
      </c>
      <c r="I30" s="113">
        <v>-900</v>
      </c>
      <c r="J30" s="189">
        <f>VLOOKUP(B30,'list of materials'!A:E,5,0)</f>
        <v>27.24775</v>
      </c>
      <c r="K30" s="156">
        <f t="shared" si="2"/>
        <v>-24522.974999999999</v>
      </c>
    </row>
    <row r="31" spans="1:11" x14ac:dyDescent="0.3">
      <c r="A31" s="113" t="s">
        <v>82</v>
      </c>
      <c r="B31" s="113">
        <v>156212</v>
      </c>
      <c r="C31" s="113" t="str">
        <f>VLOOKUP(B31,'list of materials'!A:B,2,0)</f>
        <v>Step</v>
      </c>
      <c r="D31" s="113" t="str">
        <f>VLOOKUP(B31,'list of materials'!A:C,3,0)</f>
        <v>FG</v>
      </c>
      <c r="E31" s="113" t="s">
        <v>72</v>
      </c>
      <c r="F31" s="113" t="str">
        <f>VLOOKUP(E31,SL!B:C,2,0)</f>
        <v>Outbound warehouse</v>
      </c>
      <c r="G31" s="113" t="s">
        <v>90</v>
      </c>
      <c r="H31" s="113" t="str">
        <f>VLOOKUP(G31,'MvT types'!B:C,2,0)</f>
        <v>dispatch</v>
      </c>
      <c r="I31" s="113">
        <v>-1300</v>
      </c>
      <c r="J31" s="189">
        <f>VLOOKUP(B31,'list of materials'!A:E,5,0)</f>
        <v>25.945</v>
      </c>
      <c r="K31" s="156">
        <f t="shared" si="2"/>
        <v>-33728.5</v>
      </c>
    </row>
    <row r="32" spans="1:11" x14ac:dyDescent="0.3">
      <c r="A32" s="113" t="s">
        <v>83</v>
      </c>
      <c r="B32" s="113">
        <v>120301</v>
      </c>
      <c r="C32" s="113" t="str">
        <f>VLOOKUP(B32,'list of materials'!A:B,2,0)</f>
        <v>Fint</v>
      </c>
      <c r="D32" s="113" t="str">
        <f>VLOOKUP(B32,'list of materials'!A:C,3,0)</f>
        <v>FG</v>
      </c>
      <c r="E32" s="113" t="s">
        <v>72</v>
      </c>
      <c r="F32" s="113" t="str">
        <f>VLOOKUP(E32,SL!B:C,2,0)</f>
        <v>Outbound warehouse</v>
      </c>
      <c r="G32" s="113" t="s">
        <v>90</v>
      </c>
      <c r="H32" s="113" t="str">
        <f>VLOOKUP(G32,'MvT types'!B:C,2,0)</f>
        <v>dispatch</v>
      </c>
      <c r="I32" s="113">
        <v>-800</v>
      </c>
      <c r="J32" s="189">
        <f>VLOOKUP(B32,'list of materials'!A:F,6,0)</f>
        <v>29.259799999999998</v>
      </c>
      <c r="K32" s="156">
        <f t="shared" si="2"/>
        <v>-23407.84</v>
      </c>
    </row>
    <row r="33" spans="1:11" x14ac:dyDescent="0.3">
      <c r="A33" s="113" t="s">
        <v>83</v>
      </c>
      <c r="B33" s="113">
        <v>156212</v>
      </c>
      <c r="C33" s="113" t="str">
        <f>VLOOKUP(B33,'list of materials'!A:B,2,0)</f>
        <v>Step</v>
      </c>
      <c r="D33" s="113" t="str">
        <f>VLOOKUP(B33,'list of materials'!A:C,3,0)</f>
        <v>FG</v>
      </c>
      <c r="E33" s="113" t="s">
        <v>72</v>
      </c>
      <c r="F33" s="113" t="str">
        <f>VLOOKUP(E33,SL!B:C,2,0)</f>
        <v>Outbound warehouse</v>
      </c>
      <c r="G33" s="113" t="s">
        <v>90</v>
      </c>
      <c r="H33" s="113" t="str">
        <f>VLOOKUP(G33,'MvT types'!B:C,2,0)</f>
        <v>dispatch</v>
      </c>
      <c r="I33" s="113">
        <v>-1000</v>
      </c>
      <c r="J33" s="189">
        <f>VLOOKUP(B33,'list of materials'!A:F,6,0)</f>
        <v>28.45</v>
      </c>
      <c r="K33" s="156">
        <f t="shared" si="2"/>
        <v>-28450</v>
      </c>
    </row>
    <row r="34" spans="1:11" x14ac:dyDescent="0.3">
      <c r="A34" s="113" t="s">
        <v>81</v>
      </c>
      <c r="B34" s="113">
        <v>876145</v>
      </c>
      <c r="C34" s="113" t="str">
        <f>VLOOKUP(B34,'list of materials'!A:B,2,0)</f>
        <v>Fried Peanut</v>
      </c>
      <c r="D34" s="113" t="str">
        <f>VLOOKUP(B34,'list of materials'!A:C,3,0)</f>
        <v>SFG</v>
      </c>
      <c r="E34" s="113" t="s">
        <v>63</v>
      </c>
      <c r="F34" s="113" t="str">
        <f>VLOOKUP(E34,SL!B:C,2,0)</f>
        <v>Nut plant</v>
      </c>
      <c r="G34" s="113" t="s">
        <v>50</v>
      </c>
      <c r="H34" s="113" t="str">
        <f>VLOOKUP(G34,'MvT types'!B:C,2,0)</f>
        <v>internal movement</v>
      </c>
      <c r="I34" s="113">
        <v>-110</v>
      </c>
      <c r="J34" s="189">
        <f>VLOOKUP(B34,'list of materials'!A:E,5,0)</f>
        <v>28.75</v>
      </c>
      <c r="K34" s="156">
        <f t="shared" ref="K34:K39" si="3">I34*J34</f>
        <v>-3162.5</v>
      </c>
    </row>
    <row r="35" spans="1:11" x14ac:dyDescent="0.3">
      <c r="A35" s="113" t="s">
        <v>82</v>
      </c>
      <c r="B35" s="113">
        <v>876145</v>
      </c>
      <c r="C35" s="113" t="str">
        <f>VLOOKUP(B35,'list of materials'!A:B,2,0)</f>
        <v>Fried Peanut</v>
      </c>
      <c r="D35" s="113" t="str">
        <f>VLOOKUP(B35,'list of materials'!A:C,3,0)</f>
        <v>SFG</v>
      </c>
      <c r="E35" s="113" t="s">
        <v>63</v>
      </c>
      <c r="F35" s="113" t="str">
        <f>VLOOKUP(E35,SL!B:C,2,0)</f>
        <v>Nut plant</v>
      </c>
      <c r="G35" s="113" t="s">
        <v>50</v>
      </c>
      <c r="H35" s="113" t="str">
        <f>VLOOKUP(G35,'MvT types'!B:C,2,0)</f>
        <v>internal movement</v>
      </c>
      <c r="I35" s="113">
        <v>-205.05</v>
      </c>
      <c r="J35" s="189">
        <f>VLOOKUP(B35,'list of materials'!A:E,5,0)</f>
        <v>28.75</v>
      </c>
      <c r="K35" s="156">
        <f t="shared" si="3"/>
        <v>-5895.1875</v>
      </c>
    </row>
    <row r="36" spans="1:11" x14ac:dyDescent="0.3">
      <c r="A36" s="113" t="s">
        <v>83</v>
      </c>
      <c r="B36" s="113">
        <v>876145</v>
      </c>
      <c r="C36" s="113" t="str">
        <f>VLOOKUP(B36,'list of materials'!A:B,2,0)</f>
        <v>Fried Peanut</v>
      </c>
      <c r="D36" s="113" t="str">
        <f>VLOOKUP(B36,'list of materials'!A:C,3,0)</f>
        <v>SFG</v>
      </c>
      <c r="E36" s="113" t="s">
        <v>63</v>
      </c>
      <c r="F36" s="113" t="str">
        <f>VLOOKUP(E36,SL!B:C,2,0)</f>
        <v>Nut plant</v>
      </c>
      <c r="G36" s="113" t="s">
        <v>50</v>
      </c>
      <c r="H36" s="113" t="str">
        <f>VLOOKUP(G36,'MvT types'!B:C,2,0)</f>
        <v>internal movement</v>
      </c>
      <c r="I36" s="113">
        <v>-100</v>
      </c>
      <c r="J36" s="189">
        <f>VLOOKUP(B36,'list of materials'!A:F,6,0)</f>
        <v>27.6</v>
      </c>
      <c r="K36" s="156">
        <f t="shared" si="3"/>
        <v>-2760</v>
      </c>
    </row>
    <row r="37" spans="1:11" x14ac:dyDescent="0.3">
      <c r="A37" s="113" t="s">
        <v>81</v>
      </c>
      <c r="B37" s="113">
        <v>876145</v>
      </c>
      <c r="C37" s="113" t="str">
        <f>VLOOKUP(B37,'list of materials'!A:B,2,0)</f>
        <v>Fried Peanut</v>
      </c>
      <c r="D37" s="113" t="str">
        <f>VLOOKUP(B37,'list of materials'!A:C,3,0)</f>
        <v>SFG</v>
      </c>
      <c r="E37" s="113" t="s">
        <v>66</v>
      </c>
      <c r="F37" s="113" t="str">
        <f>VLOOKUP(E37,SL!B:C,2,0)</f>
        <v>Fint production line</v>
      </c>
      <c r="G37" s="113" t="s">
        <v>50</v>
      </c>
      <c r="H37" s="113" t="str">
        <f>VLOOKUP(G37,'MvT types'!B:C,2,0)</f>
        <v>internal movement</v>
      </c>
      <c r="I37" s="113">
        <v>110</v>
      </c>
      <c r="J37" s="189">
        <f>VLOOKUP(B37,'list of materials'!A:E,5,0)</f>
        <v>28.75</v>
      </c>
      <c r="K37" s="156">
        <f t="shared" si="3"/>
        <v>3162.5</v>
      </c>
    </row>
    <row r="38" spans="1:11" x14ac:dyDescent="0.3">
      <c r="A38" s="113" t="s">
        <v>82</v>
      </c>
      <c r="B38" s="113">
        <v>876145</v>
      </c>
      <c r="C38" s="113" t="str">
        <f>VLOOKUP(B38,'list of materials'!A:B,2,0)</f>
        <v>Fried Peanut</v>
      </c>
      <c r="D38" s="113" t="str">
        <f>VLOOKUP(B38,'list of materials'!A:C,3,0)</f>
        <v>SFG</v>
      </c>
      <c r="E38" s="113" t="s">
        <v>66</v>
      </c>
      <c r="F38" s="113" t="str">
        <f>VLOOKUP(E38,SL!B:C,2,0)</f>
        <v>Fint production line</v>
      </c>
      <c r="G38" s="113" t="s">
        <v>50</v>
      </c>
      <c r="H38" s="113" t="str">
        <f>VLOOKUP(G38,'MvT types'!B:C,2,0)</f>
        <v>internal movement</v>
      </c>
      <c r="I38" s="113">
        <v>205.05</v>
      </c>
      <c r="J38" s="189">
        <f>VLOOKUP(B38,'list of materials'!A:E,5,0)</f>
        <v>28.75</v>
      </c>
      <c r="K38" s="156">
        <f t="shared" si="3"/>
        <v>5895.1875</v>
      </c>
    </row>
    <row r="39" spans="1:11" x14ac:dyDescent="0.3">
      <c r="A39" s="113" t="s">
        <v>83</v>
      </c>
      <c r="B39" s="113">
        <v>876145</v>
      </c>
      <c r="C39" s="113" t="str">
        <f>VLOOKUP(B39,'list of materials'!A:B,2,0)</f>
        <v>Fried Peanut</v>
      </c>
      <c r="D39" s="113" t="str">
        <f>VLOOKUP(B39,'list of materials'!A:C,3,0)</f>
        <v>SFG</v>
      </c>
      <c r="E39" s="113" t="s">
        <v>66</v>
      </c>
      <c r="F39" s="113" t="str">
        <f>VLOOKUP(E39,SL!B:C,2,0)</f>
        <v>Fint production line</v>
      </c>
      <c r="G39" s="113" t="s">
        <v>50</v>
      </c>
      <c r="H39" s="113" t="str">
        <f>VLOOKUP(G39,'MvT types'!B:C,2,0)</f>
        <v>internal movement</v>
      </c>
      <c r="I39" s="113">
        <v>100</v>
      </c>
      <c r="J39" s="189">
        <f>VLOOKUP(B39,'list of materials'!A:F,6,0)</f>
        <v>27.6</v>
      </c>
      <c r="K39" s="156">
        <f t="shared" si="3"/>
        <v>2760</v>
      </c>
    </row>
    <row r="40" spans="1:11" x14ac:dyDescent="0.3">
      <c r="A40" s="113" t="s">
        <v>81</v>
      </c>
      <c r="B40" s="113">
        <v>867156</v>
      </c>
      <c r="C40" s="113" t="str">
        <f>VLOOKUP(B40,'list of materials'!A:B,2,0)</f>
        <v>Chocolate mass</v>
      </c>
      <c r="D40" s="113" t="str">
        <f>VLOOKUP(B40,'list of materials'!A:C,3,0)</f>
        <v>RM</v>
      </c>
      <c r="E40" s="113" t="s">
        <v>66</v>
      </c>
      <c r="F40" s="113" t="str">
        <f>VLOOKUP(E40,SL!B:C,2,0)</f>
        <v>Fint production line</v>
      </c>
      <c r="G40" s="113" t="s">
        <v>44</v>
      </c>
      <c r="H40" s="113" t="str">
        <f>VLOOKUP(G40,'MvT types'!B:C,2,0)</f>
        <v>consumption</v>
      </c>
      <c r="I40" s="158">
        <v>-361.08</v>
      </c>
      <c r="J40" s="189">
        <f>VLOOKUP(B40,'list of materials'!A:E,5,0)</f>
        <v>28</v>
      </c>
      <c r="K40" s="156">
        <f t="shared" ref="K40:K48" si="4">I40*J40</f>
        <v>-10110.24</v>
      </c>
    </row>
    <row r="41" spans="1:11" x14ac:dyDescent="0.3">
      <c r="A41" s="113" t="s">
        <v>81</v>
      </c>
      <c r="B41" s="113">
        <v>876145</v>
      </c>
      <c r="C41" s="113" t="str">
        <f>VLOOKUP(B41,'list of materials'!A:B,2,0)</f>
        <v>Fried Peanut</v>
      </c>
      <c r="D41" s="113" t="str">
        <f>VLOOKUP(B41,'list of materials'!A:C,3,0)</f>
        <v>SFG</v>
      </c>
      <c r="E41" s="113" t="s">
        <v>66</v>
      </c>
      <c r="F41" s="113" t="str">
        <f>VLOOKUP(E41,SL!B:C,2,0)</f>
        <v>Fint production line</v>
      </c>
      <c r="G41" s="113" t="s">
        <v>44</v>
      </c>
      <c r="H41" s="113" t="str">
        <f>VLOOKUP(G41,'MvT types'!B:C,2,0)</f>
        <v>consumption</v>
      </c>
      <c r="I41" s="158">
        <v>-104.55</v>
      </c>
      <c r="J41" s="189">
        <f>VLOOKUP(B41,'list of materials'!A:E,5,0)</f>
        <v>28.75</v>
      </c>
      <c r="K41" s="156">
        <f t="shared" si="4"/>
        <v>-3005.8125</v>
      </c>
    </row>
    <row r="42" spans="1:11" x14ac:dyDescent="0.3">
      <c r="A42" s="113" t="s">
        <v>81</v>
      </c>
      <c r="B42" s="113">
        <v>765190</v>
      </c>
      <c r="C42" s="113" t="str">
        <f>VLOOKUP(B42,'list of materials'!A:B,2,0)</f>
        <v>Caramel</v>
      </c>
      <c r="D42" s="113" t="str">
        <f>VLOOKUP(B42,'list of materials'!A:C,3,0)</f>
        <v>RM</v>
      </c>
      <c r="E42" s="113" t="s">
        <v>66</v>
      </c>
      <c r="F42" s="113" t="str">
        <f>VLOOKUP(E42,SL!B:C,2,0)</f>
        <v>Fint production line</v>
      </c>
      <c r="G42" s="113" t="s">
        <v>44</v>
      </c>
      <c r="H42" s="113" t="str">
        <f>VLOOKUP(G42,'MvT types'!B:C,2,0)</f>
        <v>consumption</v>
      </c>
      <c r="I42" s="158">
        <v>-52.02</v>
      </c>
      <c r="J42" s="189">
        <f>VLOOKUP(B42,'list of materials'!A:E,5,0)</f>
        <v>15</v>
      </c>
      <c r="K42" s="156">
        <f t="shared" si="4"/>
        <v>-780.30000000000007</v>
      </c>
    </row>
    <row r="43" spans="1:11" x14ac:dyDescent="0.3">
      <c r="A43" s="113" t="s">
        <v>82</v>
      </c>
      <c r="B43" s="113">
        <v>867156</v>
      </c>
      <c r="C43" s="113" t="str">
        <f>VLOOKUP(B43,'list of materials'!A:B,2,0)</f>
        <v>Chocolate mass</v>
      </c>
      <c r="D43" s="113" t="str">
        <f>VLOOKUP(B43,'list of materials'!A:C,3,0)</f>
        <v>RM</v>
      </c>
      <c r="E43" s="113" t="s">
        <v>66</v>
      </c>
      <c r="F43" s="113" t="str">
        <f>VLOOKUP(E43,SL!B:C,2,0)</f>
        <v>Fint production line</v>
      </c>
      <c r="G43" s="113" t="s">
        <v>44</v>
      </c>
      <c r="H43" s="113" t="str">
        <f>VLOOKUP(G43,'MvT types'!B:C,2,0)</f>
        <v>consumption</v>
      </c>
      <c r="I43" s="158">
        <v>-566.4</v>
      </c>
      <c r="J43" s="189">
        <f>VLOOKUP(B43,'list of materials'!A:E,5,0)</f>
        <v>28</v>
      </c>
      <c r="K43" s="156">
        <f t="shared" si="4"/>
        <v>-15859.199999999999</v>
      </c>
    </row>
    <row r="44" spans="1:11" x14ac:dyDescent="0.3">
      <c r="A44" s="113" t="s">
        <v>82</v>
      </c>
      <c r="B44" s="113">
        <v>876145</v>
      </c>
      <c r="C44" s="113" t="str">
        <f>VLOOKUP(B44,'list of materials'!A:B,2,0)</f>
        <v>Fried Peanut</v>
      </c>
      <c r="D44" s="113" t="str">
        <f>VLOOKUP(B44,'list of materials'!A:C,3,0)</f>
        <v>SFG</v>
      </c>
      <c r="E44" s="113" t="s">
        <v>66</v>
      </c>
      <c r="F44" s="113" t="str">
        <f>VLOOKUP(E44,SL!B:C,2,0)</f>
        <v>Fint production line</v>
      </c>
      <c r="G44" s="113" t="s">
        <v>44</v>
      </c>
      <c r="H44" s="113" t="str">
        <f>VLOOKUP(G44,'MvT types'!B:C,2,0)</f>
        <v>consumption</v>
      </c>
      <c r="I44" s="158">
        <v>-164</v>
      </c>
      <c r="J44" s="189">
        <f>VLOOKUP(B44,'list of materials'!A:E,5,0)</f>
        <v>28.75</v>
      </c>
      <c r="K44" s="156">
        <f t="shared" si="4"/>
        <v>-4715</v>
      </c>
    </row>
    <row r="45" spans="1:11" x14ac:dyDescent="0.3">
      <c r="A45" s="113" t="s">
        <v>82</v>
      </c>
      <c r="B45" s="113">
        <v>765190</v>
      </c>
      <c r="C45" s="113" t="str">
        <f>VLOOKUP(B45,'list of materials'!A:B,2,0)</f>
        <v>Caramel</v>
      </c>
      <c r="D45" s="113" t="str">
        <f>VLOOKUP(B45,'list of materials'!A:C,3,0)</f>
        <v>RM</v>
      </c>
      <c r="E45" s="113" t="s">
        <v>66</v>
      </c>
      <c r="F45" s="113" t="str">
        <f>VLOOKUP(E45,SL!B:C,2,0)</f>
        <v>Fint production line</v>
      </c>
      <c r="G45" s="113" t="s">
        <v>44</v>
      </c>
      <c r="H45" s="113" t="str">
        <f>VLOOKUP(G45,'MvT types'!B:C,2,0)</f>
        <v>consumption</v>
      </c>
      <c r="I45" s="158">
        <v>-81.600000000000009</v>
      </c>
      <c r="J45" s="189">
        <f>VLOOKUP(B45,'list of materials'!A:E,5,0)</f>
        <v>15</v>
      </c>
      <c r="K45" s="156">
        <f t="shared" si="4"/>
        <v>-1224.0000000000002</v>
      </c>
    </row>
    <row r="46" spans="1:11" x14ac:dyDescent="0.3">
      <c r="A46" s="113" t="s">
        <v>83</v>
      </c>
      <c r="B46" s="113">
        <v>867156</v>
      </c>
      <c r="C46" s="113" t="str">
        <f>VLOOKUP(B46,'list of materials'!A:B,2,0)</f>
        <v>Chocolate mass</v>
      </c>
      <c r="D46" s="113" t="str">
        <f>VLOOKUP(B46,'list of materials'!A:C,3,0)</f>
        <v>RM</v>
      </c>
      <c r="E46" s="113" t="s">
        <v>66</v>
      </c>
      <c r="F46" s="113" t="str">
        <f>VLOOKUP(E46,SL!B:C,2,0)</f>
        <v>Fint production line</v>
      </c>
      <c r="G46" s="113" t="s">
        <v>44</v>
      </c>
      <c r="H46" s="113" t="str">
        <f>VLOOKUP(G46,'MvT types'!B:C,2,0)</f>
        <v>consumption</v>
      </c>
      <c r="I46" s="158">
        <v>-495.59999999999997</v>
      </c>
      <c r="J46" s="189">
        <f>VLOOKUP(B46,'list of materials'!A:F,6,0)</f>
        <v>31</v>
      </c>
      <c r="K46" s="156">
        <f t="shared" si="4"/>
        <v>-15363.599999999999</v>
      </c>
    </row>
    <row r="47" spans="1:11" x14ac:dyDescent="0.3">
      <c r="A47" s="113" t="s">
        <v>83</v>
      </c>
      <c r="B47" s="113">
        <v>876145</v>
      </c>
      <c r="C47" s="113" t="str">
        <f>VLOOKUP(B47,'list of materials'!A:B,2,0)</f>
        <v>Fried Peanut</v>
      </c>
      <c r="D47" s="113" t="str">
        <f>VLOOKUP(B47,'list of materials'!A:C,3,0)</f>
        <v>SFG</v>
      </c>
      <c r="E47" s="113" t="s">
        <v>66</v>
      </c>
      <c r="F47" s="113" t="str">
        <f>VLOOKUP(E47,SL!B:C,2,0)</f>
        <v>Fint production line</v>
      </c>
      <c r="G47" s="113" t="s">
        <v>44</v>
      </c>
      <c r="H47" s="113" t="str">
        <f>VLOOKUP(G47,'MvT types'!B:C,2,0)</f>
        <v>consumption</v>
      </c>
      <c r="I47" s="158">
        <v>-143.5</v>
      </c>
      <c r="J47" s="189">
        <f>VLOOKUP(B47,'list of materials'!A:F,6,0)</f>
        <v>27.6</v>
      </c>
      <c r="K47" s="156">
        <f t="shared" si="4"/>
        <v>-3960.6000000000004</v>
      </c>
    </row>
    <row r="48" spans="1:11" x14ac:dyDescent="0.3">
      <c r="A48" s="113" t="s">
        <v>83</v>
      </c>
      <c r="B48" s="113">
        <v>765190</v>
      </c>
      <c r="C48" s="113" t="str">
        <f>VLOOKUP(B48,'list of materials'!A:B,2,0)</f>
        <v>Caramel</v>
      </c>
      <c r="D48" s="113" t="str">
        <f>VLOOKUP(B48,'list of materials'!A:C,3,0)</f>
        <v>RM</v>
      </c>
      <c r="E48" s="113" t="s">
        <v>66</v>
      </c>
      <c r="F48" s="113" t="str">
        <f>VLOOKUP(E48,SL!B:C,2,0)</f>
        <v>Fint production line</v>
      </c>
      <c r="G48" s="113" t="s">
        <v>44</v>
      </c>
      <c r="H48" s="113" t="str">
        <f>VLOOKUP(G48,'MvT types'!B:C,2,0)</f>
        <v>consumption</v>
      </c>
      <c r="I48" s="158">
        <v>-71.399999999999991</v>
      </c>
      <c r="J48" s="189">
        <f>VLOOKUP(B48,'list of materials'!A:F,6,0)</f>
        <v>16</v>
      </c>
      <c r="K48" s="156">
        <f t="shared" si="4"/>
        <v>-1142.3999999999999</v>
      </c>
    </row>
    <row r="49" spans="1:11" x14ac:dyDescent="0.3">
      <c r="A49" s="113" t="s">
        <v>81</v>
      </c>
      <c r="B49" s="113">
        <v>867156</v>
      </c>
      <c r="C49" s="113" t="str">
        <f>VLOOKUP(B49,'list of materials'!A:B,2,0)</f>
        <v>Chocolate mass</v>
      </c>
      <c r="D49" s="113" t="str">
        <f>VLOOKUP(B49,'list of materials'!A:C,3,0)</f>
        <v>RM</v>
      </c>
      <c r="E49" s="113" t="s">
        <v>66</v>
      </c>
      <c r="F49" s="113" t="str">
        <f>VLOOKUP(E49,SL!B:C,2,0)</f>
        <v>Fint production line</v>
      </c>
      <c r="G49" s="113" t="s">
        <v>50</v>
      </c>
      <c r="H49" s="113" t="str">
        <f>VLOOKUP(G49,'MvT types'!B:C,2,0)</f>
        <v>internal movement</v>
      </c>
      <c r="I49" s="158">
        <v>361.08</v>
      </c>
      <c r="J49" s="189">
        <f>VLOOKUP(B49,'list of materials'!A:E,5,0)</f>
        <v>28</v>
      </c>
      <c r="K49" s="156">
        <f t="shared" ref="K49:K66" si="5">I49*J49</f>
        <v>10110.24</v>
      </c>
    </row>
    <row r="50" spans="1:11" x14ac:dyDescent="0.3">
      <c r="A50" s="113" t="s">
        <v>81</v>
      </c>
      <c r="B50" s="113">
        <v>876145</v>
      </c>
      <c r="C50" s="113" t="str">
        <f>VLOOKUP(B50,'list of materials'!A:B,2,0)</f>
        <v>Fried Peanut</v>
      </c>
      <c r="D50" s="113" t="str">
        <f>VLOOKUP(B50,'list of materials'!A:C,3,0)</f>
        <v>SFG</v>
      </c>
      <c r="E50" s="113" t="s">
        <v>66</v>
      </c>
      <c r="F50" s="113" t="str">
        <f>VLOOKUP(E50,SL!B:C,2,0)</f>
        <v>Fint production line</v>
      </c>
      <c r="G50" s="113" t="s">
        <v>50</v>
      </c>
      <c r="H50" s="113" t="str">
        <f>VLOOKUP(G50,'MvT types'!B:C,2,0)</f>
        <v>internal movement</v>
      </c>
      <c r="I50" s="158">
        <v>104.55</v>
      </c>
      <c r="J50" s="189">
        <f>VLOOKUP(B50,'list of materials'!A:E,5,0)</f>
        <v>28.75</v>
      </c>
      <c r="K50" s="156">
        <f t="shared" si="5"/>
        <v>3005.8125</v>
      </c>
    </row>
    <row r="51" spans="1:11" x14ac:dyDescent="0.3">
      <c r="A51" s="113" t="s">
        <v>81</v>
      </c>
      <c r="B51" s="113">
        <v>765190</v>
      </c>
      <c r="C51" s="113" t="str">
        <f>VLOOKUP(B51,'list of materials'!A:B,2,0)</f>
        <v>Caramel</v>
      </c>
      <c r="D51" s="113" t="str">
        <f>VLOOKUP(B51,'list of materials'!A:C,3,0)</f>
        <v>RM</v>
      </c>
      <c r="E51" s="113" t="s">
        <v>66</v>
      </c>
      <c r="F51" s="113" t="str">
        <f>VLOOKUP(E51,SL!B:C,2,0)</f>
        <v>Fint production line</v>
      </c>
      <c r="G51" s="113" t="s">
        <v>50</v>
      </c>
      <c r="H51" s="113" t="str">
        <f>VLOOKUP(G51,'MvT types'!B:C,2,0)</f>
        <v>internal movement</v>
      </c>
      <c r="I51" s="158">
        <v>52.02</v>
      </c>
      <c r="J51" s="189">
        <f>VLOOKUP(B51,'list of materials'!A:E,5,0)</f>
        <v>15</v>
      </c>
      <c r="K51" s="156">
        <f t="shared" si="5"/>
        <v>780.30000000000007</v>
      </c>
    </row>
    <row r="52" spans="1:11" x14ac:dyDescent="0.3">
      <c r="A52" s="113" t="s">
        <v>82</v>
      </c>
      <c r="B52" s="113">
        <v>867156</v>
      </c>
      <c r="C52" s="113" t="str">
        <f>VLOOKUP(B52,'list of materials'!A:B,2,0)</f>
        <v>Chocolate mass</v>
      </c>
      <c r="D52" s="113" t="str">
        <f>VLOOKUP(B52,'list of materials'!A:C,3,0)</f>
        <v>RM</v>
      </c>
      <c r="E52" s="113" t="s">
        <v>66</v>
      </c>
      <c r="F52" s="113" t="str">
        <f>VLOOKUP(E52,SL!B:C,2,0)</f>
        <v>Fint production line</v>
      </c>
      <c r="G52" s="113" t="s">
        <v>50</v>
      </c>
      <c r="H52" s="113" t="str">
        <f>VLOOKUP(G52,'MvT types'!B:C,2,0)</f>
        <v>internal movement</v>
      </c>
      <c r="I52" s="158">
        <v>566.4</v>
      </c>
      <c r="J52" s="189">
        <f>VLOOKUP(B52,'list of materials'!A:E,5,0)</f>
        <v>28</v>
      </c>
      <c r="K52" s="156">
        <f t="shared" si="5"/>
        <v>15859.199999999999</v>
      </c>
    </row>
    <row r="53" spans="1:11" x14ac:dyDescent="0.3">
      <c r="A53" s="113" t="s">
        <v>82</v>
      </c>
      <c r="B53" s="113">
        <v>876145</v>
      </c>
      <c r="C53" s="113" t="str">
        <f>VLOOKUP(B53,'list of materials'!A:B,2,0)</f>
        <v>Fried Peanut</v>
      </c>
      <c r="D53" s="113" t="str">
        <f>VLOOKUP(B53,'list of materials'!A:C,3,0)</f>
        <v>SFG</v>
      </c>
      <c r="E53" s="113" t="s">
        <v>66</v>
      </c>
      <c r="F53" s="113" t="str">
        <f>VLOOKUP(E53,SL!B:C,2,0)</f>
        <v>Fint production line</v>
      </c>
      <c r="G53" s="113" t="s">
        <v>50</v>
      </c>
      <c r="H53" s="113" t="str">
        <f>VLOOKUP(G53,'MvT types'!B:C,2,0)</f>
        <v>internal movement</v>
      </c>
      <c r="I53" s="158">
        <v>164</v>
      </c>
      <c r="J53" s="189">
        <f>VLOOKUP(B53,'list of materials'!A:E,5,0)</f>
        <v>28.75</v>
      </c>
      <c r="K53" s="156">
        <f t="shared" si="5"/>
        <v>4715</v>
      </c>
    </row>
    <row r="54" spans="1:11" x14ac:dyDescent="0.3">
      <c r="A54" s="113" t="s">
        <v>82</v>
      </c>
      <c r="B54" s="113">
        <v>765190</v>
      </c>
      <c r="C54" s="113" t="str">
        <f>VLOOKUP(B54,'list of materials'!A:B,2,0)</f>
        <v>Caramel</v>
      </c>
      <c r="D54" s="113" t="str">
        <f>VLOOKUP(B54,'list of materials'!A:C,3,0)</f>
        <v>RM</v>
      </c>
      <c r="E54" s="113" t="s">
        <v>66</v>
      </c>
      <c r="F54" s="113" t="str">
        <f>VLOOKUP(E54,SL!B:C,2,0)</f>
        <v>Fint production line</v>
      </c>
      <c r="G54" s="113" t="s">
        <v>50</v>
      </c>
      <c r="H54" s="113" t="str">
        <f>VLOOKUP(G54,'MvT types'!B:C,2,0)</f>
        <v>internal movement</v>
      </c>
      <c r="I54" s="158">
        <v>81.600000000000009</v>
      </c>
      <c r="J54" s="189">
        <f>VLOOKUP(B54,'list of materials'!A:E,5,0)</f>
        <v>15</v>
      </c>
      <c r="K54" s="156">
        <f t="shared" si="5"/>
        <v>1224.0000000000002</v>
      </c>
    </row>
    <row r="55" spans="1:11" x14ac:dyDescent="0.3">
      <c r="A55" s="113" t="s">
        <v>83</v>
      </c>
      <c r="B55" s="113">
        <v>867156</v>
      </c>
      <c r="C55" s="113" t="str">
        <f>VLOOKUP(B55,'list of materials'!A:B,2,0)</f>
        <v>Chocolate mass</v>
      </c>
      <c r="D55" s="113" t="str">
        <f>VLOOKUP(B55,'list of materials'!A:C,3,0)</f>
        <v>RM</v>
      </c>
      <c r="E55" s="113" t="s">
        <v>66</v>
      </c>
      <c r="F55" s="113" t="str">
        <f>VLOOKUP(E55,SL!B:C,2,0)</f>
        <v>Fint production line</v>
      </c>
      <c r="G55" s="113" t="s">
        <v>50</v>
      </c>
      <c r="H55" s="113" t="str">
        <f>VLOOKUP(G55,'MvT types'!B:C,2,0)</f>
        <v>internal movement</v>
      </c>
      <c r="I55" s="158">
        <v>495.59999999999997</v>
      </c>
      <c r="J55" s="189">
        <f>VLOOKUP(B55,'list of materials'!A:F,6,0)</f>
        <v>31</v>
      </c>
      <c r="K55" s="156">
        <f t="shared" si="5"/>
        <v>15363.599999999999</v>
      </c>
    </row>
    <row r="56" spans="1:11" x14ac:dyDescent="0.3">
      <c r="A56" s="113" t="s">
        <v>83</v>
      </c>
      <c r="B56" s="113">
        <v>876145</v>
      </c>
      <c r="C56" s="113" t="str">
        <f>VLOOKUP(B56,'list of materials'!A:B,2,0)</f>
        <v>Fried Peanut</v>
      </c>
      <c r="D56" s="113" t="str">
        <f>VLOOKUP(B56,'list of materials'!A:C,3,0)</f>
        <v>SFG</v>
      </c>
      <c r="E56" s="113" t="s">
        <v>66</v>
      </c>
      <c r="F56" s="113" t="str">
        <f>VLOOKUP(E56,SL!B:C,2,0)</f>
        <v>Fint production line</v>
      </c>
      <c r="G56" s="113" t="s">
        <v>50</v>
      </c>
      <c r="H56" s="113" t="str">
        <f>VLOOKUP(G56,'MvT types'!B:C,2,0)</f>
        <v>internal movement</v>
      </c>
      <c r="I56" s="158">
        <v>143.5</v>
      </c>
      <c r="J56" s="189">
        <f>VLOOKUP(B56,'list of materials'!A:F,6,0)</f>
        <v>27.6</v>
      </c>
      <c r="K56" s="156">
        <f t="shared" si="5"/>
        <v>3960.6000000000004</v>
      </c>
    </row>
    <row r="57" spans="1:11" x14ac:dyDescent="0.3">
      <c r="A57" s="113" t="s">
        <v>83</v>
      </c>
      <c r="B57" s="113">
        <v>765190</v>
      </c>
      <c r="C57" s="113" t="str">
        <f>VLOOKUP(B57,'list of materials'!A:B,2,0)</f>
        <v>Caramel</v>
      </c>
      <c r="D57" s="113" t="str">
        <f>VLOOKUP(B57,'list of materials'!A:C,3,0)</f>
        <v>RM</v>
      </c>
      <c r="E57" s="113" t="s">
        <v>66</v>
      </c>
      <c r="F57" s="113" t="str">
        <f>VLOOKUP(E57,SL!B:C,2,0)</f>
        <v>Fint production line</v>
      </c>
      <c r="G57" s="113" t="s">
        <v>50</v>
      </c>
      <c r="H57" s="113" t="str">
        <f>VLOOKUP(G57,'MvT types'!B:C,2,0)</f>
        <v>internal movement</v>
      </c>
      <c r="I57" s="158">
        <v>71.399999999999991</v>
      </c>
      <c r="J57" s="189">
        <f>VLOOKUP(B57,'list of materials'!A:F,6,0)</f>
        <v>16</v>
      </c>
      <c r="K57" s="156">
        <f t="shared" si="5"/>
        <v>1142.3999999999999</v>
      </c>
    </row>
    <row r="58" spans="1:11" x14ac:dyDescent="0.3">
      <c r="A58" s="113" t="s">
        <v>81</v>
      </c>
      <c r="B58" s="113">
        <v>867156</v>
      </c>
      <c r="C58" s="113" t="str">
        <f>VLOOKUP(B58,'list of materials'!A:B,2,0)</f>
        <v>Chocolate mass</v>
      </c>
      <c r="D58" s="113" t="str">
        <f>VLOOKUP(B58,'list of materials'!A:C,3,0)</f>
        <v>RM</v>
      </c>
      <c r="E58" s="113" t="s">
        <v>71</v>
      </c>
      <c r="F58" s="113" t="str">
        <f>VLOOKUP(E58,SL!B:C,2,0)</f>
        <v>Inbound warehouse</v>
      </c>
      <c r="G58" s="113" t="s">
        <v>50</v>
      </c>
      <c r="H58" s="113" t="str">
        <f>VLOOKUP(G58,'MvT types'!B:C,2,0)</f>
        <v>internal movement</v>
      </c>
      <c r="I58" s="158">
        <v>-361.08</v>
      </c>
      <c r="J58" s="189">
        <f>VLOOKUP(B58,'list of materials'!A:E,5,0)</f>
        <v>28</v>
      </c>
      <c r="K58" s="156">
        <f t="shared" si="5"/>
        <v>-10110.24</v>
      </c>
    </row>
    <row r="59" spans="1:11" x14ac:dyDescent="0.3">
      <c r="A59" s="113" t="s">
        <v>81</v>
      </c>
      <c r="B59" s="113">
        <v>876145</v>
      </c>
      <c r="C59" s="113" t="str">
        <f>VLOOKUP(B59,'list of materials'!A:B,2,0)</f>
        <v>Fried Peanut</v>
      </c>
      <c r="D59" s="113" t="str">
        <f>VLOOKUP(B59,'list of materials'!A:C,3,0)</f>
        <v>SFG</v>
      </c>
      <c r="E59" s="113" t="s">
        <v>71</v>
      </c>
      <c r="F59" s="113" t="str">
        <f>VLOOKUP(E59,SL!B:C,2,0)</f>
        <v>Inbound warehouse</v>
      </c>
      <c r="G59" s="113" t="s">
        <v>50</v>
      </c>
      <c r="H59" s="113" t="str">
        <f>VLOOKUP(G59,'MvT types'!B:C,2,0)</f>
        <v>internal movement</v>
      </c>
      <c r="I59" s="158">
        <v>-104.55</v>
      </c>
      <c r="J59" s="189">
        <f>VLOOKUP(B59,'list of materials'!A:E,5,0)</f>
        <v>28.75</v>
      </c>
      <c r="K59" s="156">
        <f t="shared" si="5"/>
        <v>-3005.8125</v>
      </c>
    </row>
    <row r="60" spans="1:11" x14ac:dyDescent="0.3">
      <c r="A60" s="113" t="s">
        <v>81</v>
      </c>
      <c r="B60" s="113">
        <v>765190</v>
      </c>
      <c r="C60" s="113" t="str">
        <f>VLOOKUP(B60,'list of materials'!A:B,2,0)</f>
        <v>Caramel</v>
      </c>
      <c r="D60" s="113" t="str">
        <f>VLOOKUP(B60,'list of materials'!A:C,3,0)</f>
        <v>RM</v>
      </c>
      <c r="E60" s="113" t="s">
        <v>71</v>
      </c>
      <c r="F60" s="113" t="str">
        <f>VLOOKUP(E60,SL!B:C,2,0)</f>
        <v>Inbound warehouse</v>
      </c>
      <c r="G60" s="113" t="s">
        <v>50</v>
      </c>
      <c r="H60" s="113" t="str">
        <f>VLOOKUP(G60,'MvT types'!B:C,2,0)</f>
        <v>internal movement</v>
      </c>
      <c r="I60" s="158">
        <v>-52.02</v>
      </c>
      <c r="J60" s="189">
        <f>VLOOKUP(B60,'list of materials'!A:E,5,0)</f>
        <v>15</v>
      </c>
      <c r="K60" s="156">
        <f t="shared" si="5"/>
        <v>-780.30000000000007</v>
      </c>
    </row>
    <row r="61" spans="1:11" x14ac:dyDescent="0.3">
      <c r="A61" s="113" t="s">
        <v>82</v>
      </c>
      <c r="B61" s="113">
        <v>867156</v>
      </c>
      <c r="C61" s="113" t="str">
        <f>VLOOKUP(B61,'list of materials'!A:B,2,0)</f>
        <v>Chocolate mass</v>
      </c>
      <c r="D61" s="113" t="str">
        <f>VLOOKUP(B61,'list of materials'!A:C,3,0)</f>
        <v>RM</v>
      </c>
      <c r="E61" s="113" t="s">
        <v>71</v>
      </c>
      <c r="F61" s="113" t="str">
        <f>VLOOKUP(E61,SL!B:C,2,0)</f>
        <v>Inbound warehouse</v>
      </c>
      <c r="G61" s="113" t="s">
        <v>50</v>
      </c>
      <c r="H61" s="113" t="str">
        <f>VLOOKUP(G61,'MvT types'!B:C,2,0)</f>
        <v>internal movement</v>
      </c>
      <c r="I61" s="158">
        <v>-566.4</v>
      </c>
      <c r="J61" s="189">
        <f>VLOOKUP(B61,'list of materials'!A:E,5,0)</f>
        <v>28</v>
      </c>
      <c r="K61" s="156">
        <f t="shared" si="5"/>
        <v>-15859.199999999999</v>
      </c>
    </row>
    <row r="62" spans="1:11" x14ac:dyDescent="0.3">
      <c r="A62" s="113" t="s">
        <v>82</v>
      </c>
      <c r="B62" s="113">
        <v>876145</v>
      </c>
      <c r="C62" s="113" t="str">
        <f>VLOOKUP(B62,'list of materials'!A:B,2,0)</f>
        <v>Fried Peanut</v>
      </c>
      <c r="D62" s="113" t="str">
        <f>VLOOKUP(B62,'list of materials'!A:C,3,0)</f>
        <v>SFG</v>
      </c>
      <c r="E62" s="113" t="s">
        <v>71</v>
      </c>
      <c r="F62" s="113" t="str">
        <f>VLOOKUP(E62,SL!B:C,2,0)</f>
        <v>Inbound warehouse</v>
      </c>
      <c r="G62" s="113" t="s">
        <v>50</v>
      </c>
      <c r="H62" s="113" t="str">
        <f>VLOOKUP(G62,'MvT types'!B:C,2,0)</f>
        <v>internal movement</v>
      </c>
      <c r="I62" s="158">
        <v>-164</v>
      </c>
      <c r="J62" s="189">
        <f>VLOOKUP(B62,'list of materials'!A:E,5,0)</f>
        <v>28.75</v>
      </c>
      <c r="K62" s="156">
        <f t="shared" si="5"/>
        <v>-4715</v>
      </c>
    </row>
    <row r="63" spans="1:11" x14ac:dyDescent="0.3">
      <c r="A63" s="113" t="s">
        <v>82</v>
      </c>
      <c r="B63" s="113">
        <v>765190</v>
      </c>
      <c r="C63" s="113" t="str">
        <f>VLOOKUP(B63,'list of materials'!A:B,2,0)</f>
        <v>Caramel</v>
      </c>
      <c r="D63" s="113" t="str">
        <f>VLOOKUP(B63,'list of materials'!A:C,3,0)</f>
        <v>RM</v>
      </c>
      <c r="E63" s="113" t="s">
        <v>71</v>
      </c>
      <c r="F63" s="113" t="str">
        <f>VLOOKUP(E63,SL!B:C,2,0)</f>
        <v>Inbound warehouse</v>
      </c>
      <c r="G63" s="113" t="s">
        <v>50</v>
      </c>
      <c r="H63" s="113" t="str">
        <f>VLOOKUP(G63,'MvT types'!B:C,2,0)</f>
        <v>internal movement</v>
      </c>
      <c r="I63" s="158">
        <v>-81.600000000000009</v>
      </c>
      <c r="J63" s="189">
        <f>VLOOKUP(B63,'list of materials'!A:E,5,0)</f>
        <v>15</v>
      </c>
      <c r="K63" s="156">
        <f t="shared" si="5"/>
        <v>-1224.0000000000002</v>
      </c>
    </row>
    <row r="64" spans="1:11" x14ac:dyDescent="0.3">
      <c r="A64" s="113" t="s">
        <v>83</v>
      </c>
      <c r="B64" s="113">
        <v>867156</v>
      </c>
      <c r="C64" s="113" t="str">
        <f>VLOOKUP(B64,'list of materials'!A:B,2,0)</f>
        <v>Chocolate mass</v>
      </c>
      <c r="D64" s="113" t="str">
        <f>VLOOKUP(B64,'list of materials'!A:C,3,0)</f>
        <v>RM</v>
      </c>
      <c r="E64" s="113" t="s">
        <v>71</v>
      </c>
      <c r="F64" s="113" t="str">
        <f>VLOOKUP(E64,SL!B:C,2,0)</f>
        <v>Inbound warehouse</v>
      </c>
      <c r="G64" s="113" t="s">
        <v>50</v>
      </c>
      <c r="H64" s="113" t="str">
        <f>VLOOKUP(G64,'MvT types'!B:C,2,0)</f>
        <v>internal movement</v>
      </c>
      <c r="I64" s="158">
        <v>-495.59999999999997</v>
      </c>
      <c r="J64" s="189">
        <f>VLOOKUP(B64,'list of materials'!A:F,6,0)</f>
        <v>31</v>
      </c>
      <c r="K64" s="156">
        <f t="shared" si="5"/>
        <v>-15363.599999999999</v>
      </c>
    </row>
    <row r="65" spans="1:11" x14ac:dyDescent="0.3">
      <c r="A65" s="113" t="s">
        <v>83</v>
      </c>
      <c r="B65" s="113">
        <v>876145</v>
      </c>
      <c r="C65" s="113" t="str">
        <f>VLOOKUP(B65,'list of materials'!A:B,2,0)</f>
        <v>Fried Peanut</v>
      </c>
      <c r="D65" s="113" t="str">
        <f>VLOOKUP(B65,'list of materials'!A:C,3,0)</f>
        <v>SFG</v>
      </c>
      <c r="E65" s="113" t="s">
        <v>71</v>
      </c>
      <c r="F65" s="113" t="str">
        <f>VLOOKUP(E65,SL!B:C,2,0)</f>
        <v>Inbound warehouse</v>
      </c>
      <c r="G65" s="113" t="s">
        <v>50</v>
      </c>
      <c r="H65" s="113" t="str">
        <f>VLOOKUP(G65,'MvT types'!B:C,2,0)</f>
        <v>internal movement</v>
      </c>
      <c r="I65" s="158">
        <v>-143.5</v>
      </c>
      <c r="J65" s="189">
        <f>VLOOKUP(B65,'list of materials'!A:F,6,0)</f>
        <v>27.6</v>
      </c>
      <c r="K65" s="156">
        <f t="shared" si="5"/>
        <v>-3960.6000000000004</v>
      </c>
    </row>
    <row r="66" spans="1:11" x14ac:dyDescent="0.3">
      <c r="A66" s="113" t="s">
        <v>83</v>
      </c>
      <c r="B66" s="113">
        <v>765190</v>
      </c>
      <c r="C66" s="113" t="str">
        <f>VLOOKUP(B66,'list of materials'!A:B,2,0)</f>
        <v>Caramel</v>
      </c>
      <c r="D66" s="113" t="str">
        <f>VLOOKUP(B66,'list of materials'!A:C,3,0)</f>
        <v>RM</v>
      </c>
      <c r="E66" s="113" t="s">
        <v>71</v>
      </c>
      <c r="F66" s="113" t="str">
        <f>VLOOKUP(E66,SL!B:C,2,0)</f>
        <v>Inbound warehouse</v>
      </c>
      <c r="G66" s="113" t="s">
        <v>50</v>
      </c>
      <c r="H66" s="113" t="str">
        <f>VLOOKUP(G66,'MvT types'!B:C,2,0)</f>
        <v>internal movement</v>
      </c>
      <c r="I66" s="158">
        <v>-71.399999999999991</v>
      </c>
      <c r="J66" s="189">
        <f>VLOOKUP(B66,'list of materials'!A:F,6,0)</f>
        <v>16</v>
      </c>
      <c r="K66" s="156">
        <f t="shared" si="5"/>
        <v>-1142.3999999999999</v>
      </c>
    </row>
    <row r="67" spans="1:11" x14ac:dyDescent="0.3">
      <c r="A67" s="113" t="s">
        <v>81</v>
      </c>
      <c r="B67" s="113">
        <v>657341</v>
      </c>
      <c r="C67" s="113" t="str">
        <f>VLOOKUP(B67,'list of materials'!A:B,2,0)</f>
        <v>Raw Peanut</v>
      </c>
      <c r="D67" s="113" t="str">
        <f>VLOOKUP(B67,'list of materials'!A:C,3,0)</f>
        <v>RM</v>
      </c>
      <c r="E67" s="113" t="s">
        <v>71</v>
      </c>
      <c r="F67" s="113" t="str">
        <f>VLOOKUP(E67,SL!B:C,2,0)</f>
        <v>Inbound warehouse</v>
      </c>
      <c r="G67" s="113" t="s">
        <v>50</v>
      </c>
      <c r="H67" s="113" t="str">
        <f>VLOOKUP(G67,'MvT types'!B:C,2,0)</f>
        <v>internal movement</v>
      </c>
      <c r="I67" s="158">
        <v>-120.6925</v>
      </c>
      <c r="J67" s="189">
        <f>VLOOKUP(B67,'list of materials'!A:E,5,0)</f>
        <v>25</v>
      </c>
      <c r="K67" s="156">
        <f t="shared" ref="K67:K75" si="6">I67*J67</f>
        <v>-3017.3125</v>
      </c>
    </row>
    <row r="68" spans="1:11" x14ac:dyDescent="0.3">
      <c r="A68" s="113" t="s">
        <v>82</v>
      </c>
      <c r="B68" s="113">
        <v>657341</v>
      </c>
      <c r="C68" s="113" t="str">
        <f>VLOOKUP(B68,'list of materials'!A:B,2,0)</f>
        <v>Raw Peanut</v>
      </c>
      <c r="D68" s="113" t="str">
        <f>VLOOKUP(B68,'list of materials'!A:C,3,0)</f>
        <v>RM</v>
      </c>
      <c r="E68" s="113" t="s">
        <v>71</v>
      </c>
      <c r="F68" s="113" t="str">
        <f>VLOOKUP(E68,SL!B:C,2,0)</f>
        <v>Inbound warehouse</v>
      </c>
      <c r="G68" s="113" t="s">
        <v>50</v>
      </c>
      <c r="H68" s="113" t="str">
        <f>VLOOKUP(G68,'MvT types'!B:C,2,0)</f>
        <v>internal movement</v>
      </c>
      <c r="I68" s="158">
        <v>-235.8075</v>
      </c>
      <c r="J68" s="189">
        <f>VLOOKUP(B68,'list of materials'!A:E,5,0)</f>
        <v>25</v>
      </c>
      <c r="K68" s="156">
        <f t="shared" si="6"/>
        <v>-5895.1875</v>
      </c>
    </row>
    <row r="69" spans="1:11" x14ac:dyDescent="0.3">
      <c r="A69" s="113" t="s">
        <v>83</v>
      </c>
      <c r="B69" s="113">
        <v>657341</v>
      </c>
      <c r="C69" s="113" t="str">
        <f>VLOOKUP(B69,'list of materials'!A:B,2,0)</f>
        <v>Raw Peanut</v>
      </c>
      <c r="D69" s="113" t="str">
        <f>VLOOKUP(B69,'list of materials'!A:C,3,0)</f>
        <v>RM</v>
      </c>
      <c r="E69" s="113" t="s">
        <v>71</v>
      </c>
      <c r="F69" s="113" t="str">
        <f>VLOOKUP(E69,SL!B:C,2,0)</f>
        <v>Inbound warehouse</v>
      </c>
      <c r="G69" s="113" t="s">
        <v>50</v>
      </c>
      <c r="H69" s="113" t="str">
        <f>VLOOKUP(G69,'MvT types'!B:C,2,0)</f>
        <v>internal movement</v>
      </c>
      <c r="I69" s="158">
        <v>-115</v>
      </c>
      <c r="J69" s="189">
        <f>VLOOKUP(B69,'list of materials'!A:F,6,0)</f>
        <v>24</v>
      </c>
      <c r="K69" s="156">
        <f t="shared" si="6"/>
        <v>-2760</v>
      </c>
    </row>
    <row r="70" spans="1:11" x14ac:dyDescent="0.3">
      <c r="A70" s="113" t="s">
        <v>81</v>
      </c>
      <c r="B70" s="113">
        <v>657341</v>
      </c>
      <c r="C70" s="113" t="str">
        <f>VLOOKUP(B70,'list of materials'!A:B,2,0)</f>
        <v>Raw Peanut</v>
      </c>
      <c r="D70" s="113" t="str">
        <f>VLOOKUP(B70,'list of materials'!A:C,3,0)</f>
        <v>RM</v>
      </c>
      <c r="E70" s="113" t="s">
        <v>63</v>
      </c>
      <c r="F70" s="113" t="str">
        <f>VLOOKUP(E70,SL!B:C,2,0)</f>
        <v>Nut plant</v>
      </c>
      <c r="G70" s="113" t="s">
        <v>50</v>
      </c>
      <c r="H70" s="113" t="str">
        <f>VLOOKUP(G70,'MvT types'!B:C,2,0)</f>
        <v>internal movement</v>
      </c>
      <c r="I70" s="158">
        <v>120.6925</v>
      </c>
      <c r="J70" s="189">
        <f>VLOOKUP(B70,'list of materials'!A:E,5,0)</f>
        <v>25</v>
      </c>
      <c r="K70" s="156">
        <f t="shared" si="6"/>
        <v>3017.3125</v>
      </c>
    </row>
    <row r="71" spans="1:11" x14ac:dyDescent="0.3">
      <c r="A71" s="113" t="s">
        <v>82</v>
      </c>
      <c r="B71" s="113">
        <v>657341</v>
      </c>
      <c r="C71" s="113" t="str">
        <f>VLOOKUP(B71,'list of materials'!A:B,2,0)</f>
        <v>Raw Peanut</v>
      </c>
      <c r="D71" s="113" t="str">
        <f>VLOOKUP(B71,'list of materials'!A:C,3,0)</f>
        <v>RM</v>
      </c>
      <c r="E71" s="113" t="s">
        <v>63</v>
      </c>
      <c r="F71" s="113" t="str">
        <f>VLOOKUP(E71,SL!B:C,2,0)</f>
        <v>Nut plant</v>
      </c>
      <c r="G71" s="113" t="s">
        <v>50</v>
      </c>
      <c r="H71" s="113" t="str">
        <f>VLOOKUP(G71,'MvT types'!B:C,2,0)</f>
        <v>internal movement</v>
      </c>
      <c r="I71" s="158">
        <v>235.8075</v>
      </c>
      <c r="J71" s="189">
        <f>VLOOKUP(B71,'list of materials'!A:E,5,0)</f>
        <v>25</v>
      </c>
      <c r="K71" s="156">
        <f t="shared" si="6"/>
        <v>5895.1875</v>
      </c>
    </row>
    <row r="72" spans="1:11" x14ac:dyDescent="0.3">
      <c r="A72" s="113" t="s">
        <v>83</v>
      </c>
      <c r="B72" s="113">
        <v>657341</v>
      </c>
      <c r="C72" s="113" t="str">
        <f>VLOOKUP(B72,'list of materials'!A:B,2,0)</f>
        <v>Raw Peanut</v>
      </c>
      <c r="D72" s="113" t="str">
        <f>VLOOKUP(B72,'list of materials'!A:C,3,0)</f>
        <v>RM</v>
      </c>
      <c r="E72" s="113" t="s">
        <v>63</v>
      </c>
      <c r="F72" s="113" t="str">
        <f>VLOOKUP(E72,SL!B:C,2,0)</f>
        <v>Nut plant</v>
      </c>
      <c r="G72" s="113" t="s">
        <v>50</v>
      </c>
      <c r="H72" s="113" t="str">
        <f>VLOOKUP(G72,'MvT types'!B:C,2,0)</f>
        <v>internal movement</v>
      </c>
      <c r="I72" s="158">
        <v>115</v>
      </c>
      <c r="J72" s="189">
        <f>VLOOKUP(B72,'list of materials'!A:F,6,0)</f>
        <v>24</v>
      </c>
      <c r="K72" s="156">
        <f t="shared" si="6"/>
        <v>2760</v>
      </c>
    </row>
    <row r="73" spans="1:11" x14ac:dyDescent="0.3">
      <c r="A73" s="113" t="s">
        <v>81</v>
      </c>
      <c r="B73" s="113">
        <v>657341</v>
      </c>
      <c r="C73" s="113" t="str">
        <f>VLOOKUP(B73,'list of materials'!A:B,2,0)</f>
        <v>Raw Peanut</v>
      </c>
      <c r="D73" s="113" t="str">
        <f>VLOOKUP(B73,'list of materials'!A:C,3,0)</f>
        <v>RM</v>
      </c>
      <c r="E73" s="113" t="s">
        <v>63</v>
      </c>
      <c r="F73" s="113" t="str">
        <f>VLOOKUP(E73,SL!B:C,2,0)</f>
        <v>Nut plant</v>
      </c>
      <c r="G73" s="113" t="s">
        <v>44</v>
      </c>
      <c r="H73" s="113" t="str">
        <f>VLOOKUP(G73,'MvT types'!B:C,2,0)</f>
        <v>consumption</v>
      </c>
      <c r="I73" s="113">
        <v>-120.6925</v>
      </c>
      <c r="J73" s="189">
        <f>VLOOKUP(B73,'list of materials'!A:E,5,0)</f>
        <v>25</v>
      </c>
      <c r="K73" s="156">
        <f t="shared" si="6"/>
        <v>-3017.3125</v>
      </c>
    </row>
    <row r="74" spans="1:11" x14ac:dyDescent="0.3">
      <c r="A74" s="113" t="s">
        <v>82</v>
      </c>
      <c r="B74" s="113">
        <v>657341</v>
      </c>
      <c r="C74" s="113" t="str">
        <f>VLOOKUP(B74,'list of materials'!A:B,2,0)</f>
        <v>Raw Peanut</v>
      </c>
      <c r="D74" s="113" t="str">
        <f>VLOOKUP(B74,'list of materials'!A:C,3,0)</f>
        <v>RM</v>
      </c>
      <c r="E74" s="113" t="s">
        <v>63</v>
      </c>
      <c r="F74" s="113" t="str">
        <f>VLOOKUP(E74,SL!B:C,2,0)</f>
        <v>Nut plant</v>
      </c>
      <c r="G74" s="113" t="s">
        <v>44</v>
      </c>
      <c r="H74" s="113" t="str">
        <f>VLOOKUP(G74,'MvT types'!B:C,2,0)</f>
        <v>consumption</v>
      </c>
      <c r="I74" s="113">
        <v>-235.8075</v>
      </c>
      <c r="J74" s="189">
        <f>VLOOKUP(B74,'list of materials'!A:E,5,0)</f>
        <v>25</v>
      </c>
      <c r="K74" s="156">
        <f t="shared" si="6"/>
        <v>-5895.1875</v>
      </c>
    </row>
    <row r="75" spans="1:11" x14ac:dyDescent="0.3">
      <c r="A75" s="113" t="s">
        <v>83</v>
      </c>
      <c r="B75" s="113">
        <v>657341</v>
      </c>
      <c r="C75" s="113" t="str">
        <f>VLOOKUP(B75,'list of materials'!A:B,2,0)</f>
        <v>Raw Peanut</v>
      </c>
      <c r="D75" s="113" t="str">
        <f>VLOOKUP(B75,'list of materials'!A:C,3,0)</f>
        <v>RM</v>
      </c>
      <c r="E75" s="113" t="s">
        <v>63</v>
      </c>
      <c r="F75" s="113" t="str">
        <f>VLOOKUP(E75,SL!B:C,2,0)</f>
        <v>Nut plant</v>
      </c>
      <c r="G75" s="113" t="s">
        <v>44</v>
      </c>
      <c r="H75" s="113" t="str">
        <f>VLOOKUP(G75,'MvT types'!B:C,2,0)</f>
        <v>consumption</v>
      </c>
      <c r="I75" s="113">
        <v>-115</v>
      </c>
      <c r="J75" s="189">
        <f>VLOOKUP(B75,'list of materials'!A:F,6,0)</f>
        <v>24</v>
      </c>
      <c r="K75" s="156">
        <f t="shared" si="6"/>
        <v>-2760</v>
      </c>
    </row>
    <row r="76" spans="1:11" x14ac:dyDescent="0.3">
      <c r="A76" s="113" t="s">
        <v>81</v>
      </c>
      <c r="B76" s="113">
        <v>867156</v>
      </c>
      <c r="C76" s="113" t="str">
        <f>VLOOKUP(B76,'list of materials'!A:B,2,0)</f>
        <v>Chocolate mass</v>
      </c>
      <c r="D76" s="113" t="str">
        <f>VLOOKUP(B76,'list of materials'!A:C,3,0)</f>
        <v>RM</v>
      </c>
      <c r="E76" s="113" t="s">
        <v>67</v>
      </c>
      <c r="F76" s="113" t="str">
        <f>VLOOKUP(E76,SL!B:C,2,0)</f>
        <v>Step production line</v>
      </c>
      <c r="G76" s="113" t="s">
        <v>44</v>
      </c>
      <c r="H76" s="113" t="str">
        <f>VLOOKUP(G76,'MvT types'!B:C,2,0)</f>
        <v>consumption</v>
      </c>
      <c r="I76" s="113">
        <v>-590</v>
      </c>
      <c r="J76" s="189">
        <f>VLOOKUP(B76,'list of materials'!A:E,5,0)</f>
        <v>28</v>
      </c>
      <c r="K76" s="156">
        <f t="shared" ref="K76:K84" si="7">I76*J76</f>
        <v>-16520</v>
      </c>
    </row>
    <row r="77" spans="1:11" x14ac:dyDescent="0.3">
      <c r="A77" s="113" t="s">
        <v>81</v>
      </c>
      <c r="B77" s="113">
        <v>560196</v>
      </c>
      <c r="C77" s="113" t="str">
        <f>VLOOKUP(B77,'list of materials'!A:B,2,0)</f>
        <v>Biscuit</v>
      </c>
      <c r="D77" s="113" t="str">
        <f>VLOOKUP(B77,'list of materials'!A:C,3,0)</f>
        <v>RM</v>
      </c>
      <c r="E77" s="113" t="s">
        <v>67</v>
      </c>
      <c r="F77" s="113" t="str">
        <f>VLOOKUP(E77,SL!B:C,2,0)</f>
        <v>Step production line</v>
      </c>
      <c r="G77" s="113" t="s">
        <v>44</v>
      </c>
      <c r="H77" s="113" t="str">
        <f>VLOOKUP(G77,'MvT types'!B:C,2,0)</f>
        <v>consumption</v>
      </c>
      <c r="I77" s="113">
        <v>-320</v>
      </c>
      <c r="J77" s="189">
        <f>VLOOKUP(B77,'list of materials'!A:E,5,0)</f>
        <v>25</v>
      </c>
      <c r="K77" s="156">
        <f t="shared" si="7"/>
        <v>-8000</v>
      </c>
    </row>
    <row r="78" spans="1:11" x14ac:dyDescent="0.3">
      <c r="A78" s="113" t="s">
        <v>81</v>
      </c>
      <c r="B78" s="113">
        <v>765190</v>
      </c>
      <c r="C78" s="113" t="str">
        <f>VLOOKUP(B78,'list of materials'!A:B,2,0)</f>
        <v>Caramel</v>
      </c>
      <c r="D78" s="113" t="str">
        <f>VLOOKUP(B78,'list of materials'!A:C,3,0)</f>
        <v>RM</v>
      </c>
      <c r="E78" s="113" t="s">
        <v>67</v>
      </c>
      <c r="F78" s="113" t="str">
        <f>VLOOKUP(E78,SL!B:C,2,0)</f>
        <v>Step production line</v>
      </c>
      <c r="G78" s="113" t="s">
        <v>44</v>
      </c>
      <c r="H78" s="113" t="str">
        <f>VLOOKUP(G78,'MvT types'!B:C,2,0)</f>
        <v>consumption</v>
      </c>
      <c r="I78" s="113">
        <v>-95</v>
      </c>
      <c r="J78" s="189">
        <f>VLOOKUP(B78,'list of materials'!A:E,5,0)</f>
        <v>15</v>
      </c>
      <c r="K78" s="156">
        <f t="shared" si="7"/>
        <v>-1425</v>
      </c>
    </row>
    <row r="79" spans="1:11" x14ac:dyDescent="0.3">
      <c r="A79" s="113" t="s">
        <v>82</v>
      </c>
      <c r="B79" s="113">
        <v>867156</v>
      </c>
      <c r="C79" s="113" t="str">
        <f>VLOOKUP(B79,'list of materials'!A:B,2,0)</f>
        <v>Chocolate mass</v>
      </c>
      <c r="D79" s="113" t="str">
        <f>VLOOKUP(B79,'list of materials'!A:C,3,0)</f>
        <v>RM</v>
      </c>
      <c r="E79" s="113" t="s">
        <v>67</v>
      </c>
      <c r="F79" s="113" t="str">
        <f>VLOOKUP(E79,SL!B:C,2,0)</f>
        <v>Step production line</v>
      </c>
      <c r="G79" s="113" t="s">
        <v>44</v>
      </c>
      <c r="H79" s="113" t="str">
        <f>VLOOKUP(G79,'MvT types'!B:C,2,0)</f>
        <v>consumption</v>
      </c>
      <c r="I79" s="113">
        <v>-885</v>
      </c>
      <c r="J79" s="189">
        <f>VLOOKUP(B79,'list of materials'!A:E,5,0)</f>
        <v>28</v>
      </c>
      <c r="K79" s="156">
        <f t="shared" si="7"/>
        <v>-24780</v>
      </c>
    </row>
    <row r="80" spans="1:11" x14ac:dyDescent="0.3">
      <c r="A80" s="113" t="s">
        <v>82</v>
      </c>
      <c r="B80" s="113">
        <v>560196</v>
      </c>
      <c r="C80" s="113" t="str">
        <f>VLOOKUP(B80,'list of materials'!A:B,2,0)</f>
        <v>Biscuit</v>
      </c>
      <c r="D80" s="113" t="str">
        <f>VLOOKUP(B80,'list of materials'!A:C,3,0)</f>
        <v>RM</v>
      </c>
      <c r="E80" s="113" t="s">
        <v>67</v>
      </c>
      <c r="F80" s="113" t="str">
        <f>VLOOKUP(E80,SL!B:C,2,0)</f>
        <v>Step production line</v>
      </c>
      <c r="G80" s="113" t="s">
        <v>44</v>
      </c>
      <c r="H80" s="113" t="str">
        <f>VLOOKUP(G80,'MvT types'!B:C,2,0)</f>
        <v>consumption</v>
      </c>
      <c r="I80" s="113">
        <v>-480</v>
      </c>
      <c r="J80" s="189">
        <f>VLOOKUP(B80,'list of materials'!A:E,5,0)</f>
        <v>25</v>
      </c>
      <c r="K80" s="156">
        <f t="shared" si="7"/>
        <v>-12000</v>
      </c>
    </row>
    <row r="81" spans="1:11" x14ac:dyDescent="0.3">
      <c r="A81" s="113" t="s">
        <v>82</v>
      </c>
      <c r="B81" s="113">
        <v>765190</v>
      </c>
      <c r="C81" s="113" t="str">
        <f>VLOOKUP(B81,'list of materials'!A:B,2,0)</f>
        <v>Caramel</v>
      </c>
      <c r="D81" s="113" t="str">
        <f>VLOOKUP(B81,'list of materials'!A:C,3,0)</f>
        <v>RM</v>
      </c>
      <c r="E81" s="113" t="s">
        <v>67</v>
      </c>
      <c r="F81" s="113" t="str">
        <f>VLOOKUP(E81,SL!B:C,2,0)</f>
        <v>Step production line</v>
      </c>
      <c r="G81" s="113" t="s">
        <v>44</v>
      </c>
      <c r="H81" s="113" t="str">
        <f>VLOOKUP(G81,'MvT types'!B:C,2,0)</f>
        <v>consumption</v>
      </c>
      <c r="I81" s="113">
        <v>-142.5</v>
      </c>
      <c r="J81" s="189">
        <f>VLOOKUP(B81,'list of materials'!A:E,5,0)</f>
        <v>15</v>
      </c>
      <c r="K81" s="156">
        <f t="shared" si="7"/>
        <v>-2137.5</v>
      </c>
    </row>
    <row r="82" spans="1:11" x14ac:dyDescent="0.3">
      <c r="A82" s="113" t="s">
        <v>83</v>
      </c>
      <c r="B82" s="113">
        <v>867156</v>
      </c>
      <c r="C82" s="113" t="str">
        <f>VLOOKUP(B82,'list of materials'!A:B,2,0)</f>
        <v>Chocolate mass</v>
      </c>
      <c r="D82" s="113" t="str">
        <f>VLOOKUP(B82,'list of materials'!A:C,3,0)</f>
        <v>RM</v>
      </c>
      <c r="E82" s="113" t="s">
        <v>67</v>
      </c>
      <c r="F82" s="113" t="str">
        <f>VLOOKUP(E82,SL!B:C,2,0)</f>
        <v>Step production line</v>
      </c>
      <c r="G82" s="113" t="s">
        <v>44</v>
      </c>
      <c r="H82" s="113" t="str">
        <f>VLOOKUP(G82,'MvT types'!B:C,2,0)</f>
        <v>consumption</v>
      </c>
      <c r="I82" s="113">
        <v>-177</v>
      </c>
      <c r="J82" s="189">
        <f>VLOOKUP(B82,'list of materials'!A:F,6,0)</f>
        <v>31</v>
      </c>
      <c r="K82" s="156">
        <f t="shared" si="7"/>
        <v>-5487</v>
      </c>
    </row>
    <row r="83" spans="1:11" x14ac:dyDescent="0.3">
      <c r="A83" s="113" t="s">
        <v>83</v>
      </c>
      <c r="B83" s="113">
        <v>560196</v>
      </c>
      <c r="C83" s="113" t="str">
        <f>VLOOKUP(B83,'list of materials'!A:B,2,0)</f>
        <v>Biscuit</v>
      </c>
      <c r="D83" s="113" t="str">
        <f>VLOOKUP(B83,'list of materials'!A:C,3,0)</f>
        <v>RM</v>
      </c>
      <c r="E83" s="113" t="s">
        <v>67</v>
      </c>
      <c r="F83" s="113" t="str">
        <f>VLOOKUP(E83,SL!B:C,2,0)</f>
        <v>Step production line</v>
      </c>
      <c r="G83" s="113" t="s">
        <v>44</v>
      </c>
      <c r="H83" s="113" t="str">
        <f>VLOOKUP(G83,'MvT types'!B:C,2,0)</f>
        <v>consumption</v>
      </c>
      <c r="I83" s="113">
        <v>-96</v>
      </c>
      <c r="J83" s="189">
        <f>VLOOKUP(B83,'list of materials'!A:F,6,0)</f>
        <v>27</v>
      </c>
      <c r="K83" s="156">
        <f t="shared" si="7"/>
        <v>-2592</v>
      </c>
    </row>
    <row r="84" spans="1:11" x14ac:dyDescent="0.3">
      <c r="A84" s="113" t="s">
        <v>83</v>
      </c>
      <c r="B84" s="113">
        <v>765190</v>
      </c>
      <c r="C84" s="113" t="str">
        <f>VLOOKUP(B84,'list of materials'!A:B,2,0)</f>
        <v>Caramel</v>
      </c>
      <c r="D84" s="113" t="str">
        <f>VLOOKUP(B84,'list of materials'!A:C,3,0)</f>
        <v>RM</v>
      </c>
      <c r="E84" s="113" t="s">
        <v>67</v>
      </c>
      <c r="F84" s="113" t="str">
        <f>VLOOKUP(E84,SL!B:C,2,0)</f>
        <v>Step production line</v>
      </c>
      <c r="G84" s="113" t="s">
        <v>44</v>
      </c>
      <c r="H84" s="113" t="str">
        <f>VLOOKUP(G84,'MvT types'!B:C,2,0)</f>
        <v>consumption</v>
      </c>
      <c r="I84" s="113">
        <v>-28.5</v>
      </c>
      <c r="J84" s="189">
        <f>VLOOKUP(B84,'list of materials'!A:F,6,0)</f>
        <v>16</v>
      </c>
      <c r="K84" s="156">
        <f t="shared" si="7"/>
        <v>-456</v>
      </c>
    </row>
    <row r="85" spans="1:11" x14ac:dyDescent="0.3">
      <c r="A85" s="113" t="s">
        <v>82</v>
      </c>
      <c r="B85" s="113">
        <v>765190</v>
      </c>
      <c r="C85" s="113" t="str">
        <f>VLOOKUP(B85,'list of materials'!A:B,2,0)</f>
        <v>Caramel</v>
      </c>
      <c r="D85" s="113" t="str">
        <f>VLOOKUP(B85,'list of materials'!A:C,3,0)</f>
        <v>RM</v>
      </c>
      <c r="E85" s="113" t="s">
        <v>71</v>
      </c>
      <c r="F85" s="113" t="str">
        <f>VLOOKUP(E85,SL!B:C,2,0)</f>
        <v>Inbound warehouse</v>
      </c>
      <c r="G85" s="113" t="s">
        <v>55</v>
      </c>
      <c r="H85" s="113" t="str">
        <f>VLOOKUP(G85,'MvT types'!B:C,2,0)</f>
        <v>Inventory stock-take</v>
      </c>
      <c r="I85" s="113">
        <v>-20</v>
      </c>
      <c r="J85" s="189">
        <f>VLOOKUP(B85,'list of materials'!A:E,5,0)</f>
        <v>15</v>
      </c>
      <c r="K85" s="156">
        <f>I85*J85</f>
        <v>-300</v>
      </c>
    </row>
    <row r="86" spans="1:11" x14ac:dyDescent="0.3">
      <c r="A86" s="113" t="s">
        <v>82</v>
      </c>
      <c r="B86" s="113">
        <v>657341</v>
      </c>
      <c r="C86" s="113" t="str">
        <f>VLOOKUP(B86,'list of materials'!A:B,2,0)</f>
        <v>Raw Peanut</v>
      </c>
      <c r="D86" s="113" t="str">
        <f>VLOOKUP(B86,'list of materials'!A:C,3,0)</f>
        <v>RM</v>
      </c>
      <c r="E86" s="113" t="s">
        <v>71</v>
      </c>
      <c r="F86" s="113" t="str">
        <f>VLOOKUP(E86,SL!B:C,2,0)</f>
        <v>Inbound warehouse</v>
      </c>
      <c r="G86" s="113" t="s">
        <v>55</v>
      </c>
      <c r="H86" s="113" t="str">
        <f>VLOOKUP(G86,'MvT types'!B:C,2,0)</f>
        <v>Inventory stock-take</v>
      </c>
      <c r="I86" s="113">
        <v>-12</v>
      </c>
      <c r="J86" s="189">
        <f>VLOOKUP(B86,'list of materials'!A:E,5,0)</f>
        <v>25</v>
      </c>
      <c r="K86" s="156">
        <f>I86*J86</f>
        <v>-300</v>
      </c>
    </row>
    <row r="87" spans="1:11" x14ac:dyDescent="0.3">
      <c r="A87" s="113" t="s">
        <v>81</v>
      </c>
      <c r="B87" s="113">
        <v>657341</v>
      </c>
      <c r="C87" s="113" t="str">
        <f>VLOOKUP(B87,'list of materials'!A:B,2,0)</f>
        <v>Raw Peanut</v>
      </c>
      <c r="D87" s="113" t="str">
        <f>VLOOKUP(B87,'list of materials'!A:C,3,0)</f>
        <v>RM</v>
      </c>
      <c r="E87" s="113" t="s">
        <v>63</v>
      </c>
      <c r="F87" s="113" t="str">
        <f>VLOOKUP(E87,SL!B:C,2,0)</f>
        <v>Nut plant</v>
      </c>
      <c r="G87" s="113" t="s">
        <v>140</v>
      </c>
      <c r="H87" s="113" t="str">
        <f>VLOOKUP(G87,'MvT types'!B:C,2,0)</f>
        <v>Write-off</v>
      </c>
      <c r="I87" s="113">
        <v>-2</v>
      </c>
      <c r="J87" s="189">
        <f>VLOOKUP(B87,'list of materials'!A:E,5,0)</f>
        <v>25</v>
      </c>
      <c r="K87" s="156">
        <f>I87*J87</f>
        <v>-50</v>
      </c>
    </row>
    <row r="88" spans="1:11" x14ac:dyDescent="0.3">
      <c r="A88" s="113" t="s">
        <v>82</v>
      </c>
      <c r="B88" s="113">
        <v>657341</v>
      </c>
      <c r="C88" s="113" t="str">
        <f>VLOOKUP(B88,'list of materials'!A:B,2,0)</f>
        <v>Raw Peanut</v>
      </c>
      <c r="D88" s="113" t="str">
        <f>VLOOKUP(B88,'list of materials'!A:C,3,0)</f>
        <v>RM</v>
      </c>
      <c r="E88" s="113" t="s">
        <v>63</v>
      </c>
      <c r="F88" s="113" t="str">
        <f>VLOOKUP(E88,SL!B:C,2,0)</f>
        <v>Nut plant</v>
      </c>
      <c r="G88" s="113" t="s">
        <v>140</v>
      </c>
      <c r="H88" s="113" t="str">
        <f>VLOOKUP(G88,'MvT types'!B:C,2,0)</f>
        <v>Write-off</v>
      </c>
      <c r="I88" s="113">
        <v>-3</v>
      </c>
      <c r="J88" s="189">
        <f>VLOOKUP(B88,'list of materials'!A:E,5,0)</f>
        <v>25</v>
      </c>
      <c r="K88" s="156">
        <f>I88*J88</f>
        <v>-75</v>
      </c>
    </row>
    <row r="89" spans="1:11" x14ac:dyDescent="0.3">
      <c r="A89" s="113" t="s">
        <v>83</v>
      </c>
      <c r="B89" s="113">
        <v>657341</v>
      </c>
      <c r="C89" s="113" t="str">
        <f>VLOOKUP(B89,'list of materials'!A:B,2,0)</f>
        <v>Raw Peanut</v>
      </c>
      <c r="D89" s="113" t="str">
        <f>VLOOKUP(B89,'list of materials'!A:C,3,0)</f>
        <v>RM</v>
      </c>
      <c r="E89" s="113" t="s">
        <v>63</v>
      </c>
      <c r="F89" s="113" t="str">
        <f>VLOOKUP(E89,SL!B:C,2,0)</f>
        <v>Nut plant</v>
      </c>
      <c r="G89" s="113" t="s">
        <v>140</v>
      </c>
      <c r="H89" s="113" t="str">
        <f>VLOOKUP(G89,'MvT types'!B:C,2,0)</f>
        <v>Write-off</v>
      </c>
      <c r="I89" s="113">
        <v>-1</v>
      </c>
      <c r="J89" s="189">
        <f>VLOOKUP(B89,'list of materials'!A:F,6,0)</f>
        <v>24</v>
      </c>
      <c r="K89" s="156">
        <f t="shared" ref="K89:K95" si="8">I89*J89</f>
        <v>-24</v>
      </c>
    </row>
    <row r="90" spans="1:11" x14ac:dyDescent="0.3">
      <c r="A90" s="113" t="s">
        <v>81</v>
      </c>
      <c r="B90" s="113">
        <v>867156</v>
      </c>
      <c r="C90" s="113" t="str">
        <f>VLOOKUP(B90,'list of materials'!A:B,2,0)</f>
        <v>Chocolate mass</v>
      </c>
      <c r="D90" s="113" t="str">
        <f>VLOOKUP(B90,'list of materials'!A:C,3,0)</f>
        <v>RM</v>
      </c>
      <c r="E90" s="113" t="s">
        <v>66</v>
      </c>
      <c r="F90" s="113" t="str">
        <f>VLOOKUP(E90,SL!B:C,2,0)</f>
        <v>Fint production line</v>
      </c>
      <c r="G90" s="113" t="s">
        <v>140</v>
      </c>
      <c r="H90" s="113" t="str">
        <f>VLOOKUP(G90,'MvT types'!B:C,2,0)</f>
        <v>Write-off</v>
      </c>
      <c r="I90" s="113">
        <v>4.0799999999999299</v>
      </c>
      <c r="J90" s="189">
        <f>VLOOKUP(B90,'list of materials'!A:E,5,0)</f>
        <v>28</v>
      </c>
      <c r="K90" s="156">
        <f t="shared" si="8"/>
        <v>114.23999999999803</v>
      </c>
    </row>
    <row r="91" spans="1:11" x14ac:dyDescent="0.3">
      <c r="A91" s="113" t="s">
        <v>82</v>
      </c>
      <c r="B91" s="113">
        <v>867156</v>
      </c>
      <c r="C91" s="113" t="str">
        <f>VLOOKUP(B91,'list of materials'!A:B,2,0)</f>
        <v>Chocolate mass</v>
      </c>
      <c r="D91" s="113" t="str">
        <f>VLOOKUP(B91,'list of materials'!A:C,3,0)</f>
        <v>RM</v>
      </c>
      <c r="E91" s="113" t="s">
        <v>66</v>
      </c>
      <c r="F91" s="113" t="str">
        <f>VLOOKUP(E91,SL!B:C,2,0)</f>
        <v>Fint production line</v>
      </c>
      <c r="G91" s="113" t="s">
        <v>140</v>
      </c>
      <c r="H91" s="113" t="str">
        <f>VLOOKUP(G91,'MvT types'!B:C,2,0)</f>
        <v>Write-off</v>
      </c>
      <c r="I91" s="113">
        <v>-2</v>
      </c>
      <c r="J91" s="189">
        <f>VLOOKUP(B91,'list of materials'!A:E,5,0)</f>
        <v>28</v>
      </c>
      <c r="K91" s="156">
        <f t="shared" si="8"/>
        <v>-56</v>
      </c>
    </row>
    <row r="92" spans="1:11" x14ac:dyDescent="0.3">
      <c r="A92" s="113" t="s">
        <v>83</v>
      </c>
      <c r="B92" s="113">
        <v>867156</v>
      </c>
      <c r="C92" s="113" t="str">
        <f>VLOOKUP(B92,'list of materials'!A:B,2,0)</f>
        <v>Chocolate mass</v>
      </c>
      <c r="D92" s="113" t="str">
        <f>VLOOKUP(B92,'list of materials'!A:C,3,0)</f>
        <v>RM</v>
      </c>
      <c r="E92" s="113" t="s">
        <v>66</v>
      </c>
      <c r="F92" s="113" t="str">
        <f>VLOOKUP(E92,SL!B:C,2,0)</f>
        <v>Fint production line</v>
      </c>
      <c r="G92" s="113" t="s">
        <v>140</v>
      </c>
      <c r="H92" s="113" t="str">
        <f>VLOOKUP(G92,'MvT types'!B:C,2,0)</f>
        <v>Write-off</v>
      </c>
      <c r="I92" s="113">
        <v>-4</v>
      </c>
      <c r="J92" s="189">
        <f>VLOOKUP(B92,'list of materials'!A:F,6,0)</f>
        <v>31</v>
      </c>
      <c r="K92" s="156">
        <f t="shared" si="8"/>
        <v>-124</v>
      </c>
    </row>
    <row r="93" spans="1:11" x14ac:dyDescent="0.3">
      <c r="A93" s="113" t="s">
        <v>81</v>
      </c>
      <c r="B93" s="113">
        <v>765190</v>
      </c>
      <c r="C93" s="113" t="str">
        <f>VLOOKUP(B93,'list of materials'!A:B,2,0)</f>
        <v>Caramel</v>
      </c>
      <c r="D93" s="113" t="str">
        <f>VLOOKUP(B93,'list of materials'!A:C,3,0)</f>
        <v>RM</v>
      </c>
      <c r="E93" s="113" t="s">
        <v>66</v>
      </c>
      <c r="F93" s="113" t="str">
        <f>VLOOKUP(E93,SL!B:C,2,0)</f>
        <v>Fint production line</v>
      </c>
      <c r="G93" s="113" t="s">
        <v>140</v>
      </c>
      <c r="H93" s="113" t="str">
        <f>VLOOKUP(G93,'MvT types'!B:C,2,0)</f>
        <v>Write-off</v>
      </c>
      <c r="I93" s="113">
        <v>-3.98</v>
      </c>
      <c r="J93" s="189">
        <f>VLOOKUP(B93,'list of materials'!A:E,5,0)</f>
        <v>15</v>
      </c>
      <c r="K93" s="156">
        <f t="shared" si="8"/>
        <v>-59.7</v>
      </c>
    </row>
    <row r="94" spans="1:11" x14ac:dyDescent="0.3">
      <c r="A94" s="113" t="s">
        <v>82</v>
      </c>
      <c r="B94" s="113">
        <v>765190</v>
      </c>
      <c r="C94" s="113" t="str">
        <f>VLOOKUP(B94,'list of materials'!A:B,2,0)</f>
        <v>Caramel</v>
      </c>
      <c r="D94" s="113" t="str">
        <f>VLOOKUP(B94,'list of materials'!A:C,3,0)</f>
        <v>RM</v>
      </c>
      <c r="E94" s="113" t="s">
        <v>66</v>
      </c>
      <c r="F94" s="113" t="str">
        <f>VLOOKUP(E94,SL!B:C,2,0)</f>
        <v>Fint production line</v>
      </c>
      <c r="G94" s="113" t="s">
        <v>140</v>
      </c>
      <c r="H94" s="113" t="str">
        <f>VLOOKUP(G94,'MvT types'!B:C,2,0)</f>
        <v>Write-off</v>
      </c>
      <c r="I94" s="113">
        <v>-1</v>
      </c>
      <c r="J94" s="189">
        <f>VLOOKUP(B94,'list of materials'!A:E,5,0)</f>
        <v>15</v>
      </c>
      <c r="K94" s="156">
        <f t="shared" si="8"/>
        <v>-15</v>
      </c>
    </row>
    <row r="95" spans="1:11" x14ac:dyDescent="0.3">
      <c r="A95" s="113" t="s">
        <v>83</v>
      </c>
      <c r="B95" s="113">
        <v>765190</v>
      </c>
      <c r="C95" s="113" t="str">
        <f>VLOOKUP(B95,'list of materials'!A:B,2,0)</f>
        <v>Caramel</v>
      </c>
      <c r="D95" s="113" t="str">
        <f>VLOOKUP(B95,'list of materials'!A:C,3,0)</f>
        <v>RM</v>
      </c>
      <c r="E95" s="113" t="s">
        <v>66</v>
      </c>
      <c r="F95" s="113" t="str">
        <f>VLOOKUP(E95,SL!B:C,2,0)</f>
        <v>Fint production line</v>
      </c>
      <c r="G95" s="113" t="s">
        <v>140</v>
      </c>
      <c r="H95" s="113" t="str">
        <f>VLOOKUP(G95,'MvT types'!B:C,2,0)</f>
        <v>Write-off</v>
      </c>
      <c r="I95" s="113">
        <v>-2</v>
      </c>
      <c r="J95" s="189">
        <f>VLOOKUP(B95,'list of materials'!A:F,6,0)</f>
        <v>16</v>
      </c>
      <c r="K95" s="156">
        <f t="shared" si="8"/>
        <v>-32</v>
      </c>
    </row>
    <row r="96" spans="1:11" x14ac:dyDescent="0.3">
      <c r="A96" s="113" t="s">
        <v>81</v>
      </c>
      <c r="B96" s="113">
        <v>867156</v>
      </c>
      <c r="C96" s="113" t="str">
        <f>VLOOKUP(B96,'list of materials'!A:B,2,0)</f>
        <v>Chocolate mass</v>
      </c>
      <c r="D96" s="113" t="str">
        <f>VLOOKUP(B96,'list of materials'!A:C,3,0)</f>
        <v>RM</v>
      </c>
      <c r="E96" s="113" t="s">
        <v>67</v>
      </c>
      <c r="F96" s="113" t="str">
        <f>VLOOKUP(E96,SL!B:C,2,0)</f>
        <v>Step production line</v>
      </c>
      <c r="G96" s="113" t="s">
        <v>140</v>
      </c>
      <c r="H96" s="113" t="str">
        <f>VLOOKUP(G96,'MvT types'!B:C,2,0)</f>
        <v>Write-off</v>
      </c>
      <c r="I96" s="113">
        <v>-1</v>
      </c>
      <c r="J96" s="189">
        <f>VLOOKUP(B96,'list of materials'!A:E,5,0)</f>
        <v>28</v>
      </c>
      <c r="K96" s="156">
        <f t="shared" ref="K96:K101" si="9">I96*J96</f>
        <v>-28</v>
      </c>
    </row>
    <row r="97" spans="1:11" x14ac:dyDescent="0.3">
      <c r="A97" s="113" t="s">
        <v>82</v>
      </c>
      <c r="B97" s="113">
        <v>867156</v>
      </c>
      <c r="C97" s="113" t="str">
        <f>VLOOKUP(B97,'list of materials'!A:B,2,0)</f>
        <v>Chocolate mass</v>
      </c>
      <c r="D97" s="113" t="str">
        <f>VLOOKUP(B97,'list of materials'!A:C,3,0)</f>
        <v>RM</v>
      </c>
      <c r="E97" s="113" t="s">
        <v>67</v>
      </c>
      <c r="F97" s="113" t="str">
        <f>VLOOKUP(E97,SL!B:C,2,0)</f>
        <v>Step production line</v>
      </c>
      <c r="G97" s="113" t="s">
        <v>140</v>
      </c>
      <c r="H97" s="113" t="str">
        <f>VLOOKUP(G97,'MvT types'!B:C,2,0)</f>
        <v>Write-off</v>
      </c>
      <c r="I97" s="113">
        <v>-1</v>
      </c>
      <c r="J97" s="189">
        <f>VLOOKUP(B97,'list of materials'!A:E,5,0)</f>
        <v>28</v>
      </c>
      <c r="K97" s="156">
        <f t="shared" si="9"/>
        <v>-28</v>
      </c>
    </row>
    <row r="98" spans="1:11" x14ac:dyDescent="0.3">
      <c r="A98" s="113" t="s">
        <v>83</v>
      </c>
      <c r="B98" s="113">
        <v>867156</v>
      </c>
      <c r="C98" s="113" t="str">
        <f>VLOOKUP(B98,'list of materials'!A:B,2,0)</f>
        <v>Chocolate mass</v>
      </c>
      <c r="D98" s="113" t="str">
        <f>VLOOKUP(B98,'list of materials'!A:C,3,0)</f>
        <v>RM</v>
      </c>
      <c r="E98" s="113" t="s">
        <v>67</v>
      </c>
      <c r="F98" s="113" t="str">
        <f>VLOOKUP(E98,SL!B:C,2,0)</f>
        <v>Step production line</v>
      </c>
      <c r="G98" s="113" t="s">
        <v>140</v>
      </c>
      <c r="H98" s="113" t="str">
        <f>VLOOKUP(G98,'MvT types'!B:C,2,0)</f>
        <v>Write-off</v>
      </c>
      <c r="I98" s="113">
        <v>-2</v>
      </c>
      <c r="J98" s="189">
        <f>VLOOKUP(B98,'list of materials'!A:F,6,0)</f>
        <v>31</v>
      </c>
      <c r="K98" s="156">
        <f t="shared" si="9"/>
        <v>-62</v>
      </c>
    </row>
    <row r="99" spans="1:11" x14ac:dyDescent="0.3">
      <c r="A99" s="113" t="s">
        <v>81</v>
      </c>
      <c r="B99" s="113">
        <v>560196</v>
      </c>
      <c r="C99" s="113" t="str">
        <f>VLOOKUP(B99,'list of materials'!A:B,2,0)</f>
        <v>Biscuit</v>
      </c>
      <c r="D99" s="113" t="str">
        <f>VLOOKUP(B99,'list of materials'!A:C,3,0)</f>
        <v>RM</v>
      </c>
      <c r="E99" s="113" t="s">
        <v>67</v>
      </c>
      <c r="F99" s="113" t="str">
        <f>VLOOKUP(E99,SL!B:C,2,0)</f>
        <v>Step production line</v>
      </c>
      <c r="G99" s="113" t="s">
        <v>140</v>
      </c>
      <c r="H99" s="113" t="str">
        <f>VLOOKUP(G99,'MvT types'!B:C,2,0)</f>
        <v>Write-off</v>
      </c>
      <c r="I99" s="113">
        <v>-20</v>
      </c>
      <c r="J99" s="189">
        <f>VLOOKUP(B99,'list of materials'!A:E,5,0)</f>
        <v>25</v>
      </c>
      <c r="K99" s="156">
        <f t="shared" si="9"/>
        <v>-500</v>
      </c>
    </row>
    <row r="100" spans="1:11" x14ac:dyDescent="0.3">
      <c r="A100" s="113" t="s">
        <v>82</v>
      </c>
      <c r="B100" s="113">
        <v>560196</v>
      </c>
      <c r="C100" s="113" t="str">
        <f>VLOOKUP(B100,'list of materials'!A:B,2,0)</f>
        <v>Biscuit</v>
      </c>
      <c r="D100" s="113" t="str">
        <f>VLOOKUP(B100,'list of materials'!A:C,3,0)</f>
        <v>RM</v>
      </c>
      <c r="E100" s="113" t="s">
        <v>67</v>
      </c>
      <c r="F100" s="113" t="str">
        <f>VLOOKUP(E100,SL!B:C,2,0)</f>
        <v>Step production line</v>
      </c>
      <c r="G100" s="113" t="s">
        <v>140</v>
      </c>
      <c r="H100" s="113" t="str">
        <f>VLOOKUP(G100,'MvT types'!B:C,2,0)</f>
        <v>Write-off</v>
      </c>
      <c r="I100" s="113">
        <v>-1</v>
      </c>
      <c r="J100" s="189">
        <f>VLOOKUP(B100,'list of materials'!A:E,5,0)</f>
        <v>25</v>
      </c>
      <c r="K100" s="156">
        <f t="shared" si="9"/>
        <v>-25</v>
      </c>
    </row>
    <row r="101" spans="1:11" x14ac:dyDescent="0.3">
      <c r="A101" s="113" t="s">
        <v>83</v>
      </c>
      <c r="B101" s="113">
        <v>560196</v>
      </c>
      <c r="C101" s="113" t="str">
        <f>VLOOKUP(B101,'list of materials'!A:B,2,0)</f>
        <v>Biscuit</v>
      </c>
      <c r="D101" s="113" t="str">
        <f>VLOOKUP(B101,'list of materials'!A:C,3,0)</f>
        <v>RM</v>
      </c>
      <c r="E101" s="113" t="s">
        <v>67</v>
      </c>
      <c r="F101" s="113" t="str">
        <f>VLOOKUP(E101,SL!B:C,2,0)</f>
        <v>Step production line</v>
      </c>
      <c r="G101" s="113" t="s">
        <v>140</v>
      </c>
      <c r="H101" s="113" t="str">
        <f>VLOOKUP(G101,'MvT types'!B:C,2,0)</f>
        <v>Write-off</v>
      </c>
      <c r="I101" s="113">
        <v>-2</v>
      </c>
      <c r="J101" s="189">
        <f>VLOOKUP(B101,'list of materials'!A:F,6,0)</f>
        <v>27</v>
      </c>
      <c r="K101" s="156">
        <f t="shared" si="9"/>
        <v>-54</v>
      </c>
    </row>
    <row r="102" spans="1:11" x14ac:dyDescent="0.3">
      <c r="A102" s="113" t="s">
        <v>81</v>
      </c>
      <c r="B102" s="113">
        <v>867156</v>
      </c>
      <c r="C102" s="113" t="str">
        <f>VLOOKUP(B102,'list of materials'!A:B,2,0)</f>
        <v>Chocolate mass</v>
      </c>
      <c r="D102" s="113" t="str">
        <f>VLOOKUP(B102,'list of materials'!A:C,3,0)</f>
        <v>RM</v>
      </c>
      <c r="E102" s="113" t="s">
        <v>71</v>
      </c>
      <c r="F102" s="113" t="str">
        <f>VLOOKUP(E102,SL!B:C,2,0)</f>
        <v>Inbound warehouse</v>
      </c>
      <c r="G102" s="113" t="s">
        <v>48</v>
      </c>
      <c r="H102" s="113" t="str">
        <f>VLOOKUP(G102,'MvT types'!B:C,2,0)</f>
        <v>reception</v>
      </c>
      <c r="I102" s="156">
        <v>400</v>
      </c>
      <c r="J102" s="189">
        <f>VLOOKUP(B102,'list of materials'!A:E,5,0)</f>
        <v>28</v>
      </c>
      <c r="K102" s="156">
        <f t="shared" ref="K102:K114" si="10">I102*J102</f>
        <v>11200</v>
      </c>
    </row>
    <row r="103" spans="1:11" x14ac:dyDescent="0.3">
      <c r="A103" s="113" t="s">
        <v>81</v>
      </c>
      <c r="B103" s="113">
        <v>765190</v>
      </c>
      <c r="C103" s="113" t="str">
        <f>VLOOKUP(B103,'list of materials'!A:B,2,0)</f>
        <v>Caramel</v>
      </c>
      <c r="D103" s="113" t="str">
        <f>VLOOKUP(B103,'list of materials'!A:C,3,0)</f>
        <v>RM</v>
      </c>
      <c r="E103" s="113" t="s">
        <v>71</v>
      </c>
      <c r="F103" s="113" t="str">
        <f>VLOOKUP(E103,SL!B:C,2,0)</f>
        <v>Inbound warehouse</v>
      </c>
      <c r="G103" s="113" t="s">
        <v>48</v>
      </c>
      <c r="H103" s="113" t="str">
        <f>VLOOKUP(G103,'MvT types'!B:C,2,0)</f>
        <v>reception</v>
      </c>
      <c r="I103" s="156">
        <v>200</v>
      </c>
      <c r="J103" s="189">
        <f>VLOOKUP(B103,'list of materials'!A:E,5,0)</f>
        <v>15</v>
      </c>
      <c r="K103" s="156">
        <f t="shared" si="10"/>
        <v>3000</v>
      </c>
    </row>
    <row r="104" spans="1:11" x14ac:dyDescent="0.3">
      <c r="A104" s="113" t="s">
        <v>81</v>
      </c>
      <c r="B104" s="113">
        <v>657341</v>
      </c>
      <c r="C104" s="113" t="str">
        <f>VLOOKUP(B104,'list of materials'!A:B,2,0)</f>
        <v>Raw Peanut</v>
      </c>
      <c r="D104" s="113" t="str">
        <f>VLOOKUP(B104,'list of materials'!A:C,3,0)</f>
        <v>RM</v>
      </c>
      <c r="E104" s="113" t="s">
        <v>71</v>
      </c>
      <c r="F104" s="113" t="str">
        <f>VLOOKUP(E104,SL!B:C,2,0)</f>
        <v>Inbound warehouse</v>
      </c>
      <c r="G104" s="113" t="s">
        <v>48</v>
      </c>
      <c r="H104" s="113" t="str">
        <f>VLOOKUP(G104,'MvT types'!B:C,2,0)</f>
        <v>reception</v>
      </c>
      <c r="I104" s="156">
        <v>300</v>
      </c>
      <c r="J104" s="189">
        <f>VLOOKUP(B104,'list of materials'!A:E,5,0)</f>
        <v>25</v>
      </c>
      <c r="K104" s="156">
        <f t="shared" si="10"/>
        <v>7500</v>
      </c>
    </row>
    <row r="105" spans="1:11" x14ac:dyDescent="0.3">
      <c r="A105" s="113" t="s">
        <v>81</v>
      </c>
      <c r="B105" s="113">
        <v>560196</v>
      </c>
      <c r="C105" s="113" t="str">
        <f>VLOOKUP(B105,'list of materials'!A:B,2,0)</f>
        <v>Biscuit</v>
      </c>
      <c r="D105" s="113" t="str">
        <f>VLOOKUP(B105,'list of materials'!A:C,3,0)</f>
        <v>RM</v>
      </c>
      <c r="E105" s="113" t="s">
        <v>71</v>
      </c>
      <c r="F105" s="113" t="str">
        <f>VLOOKUP(E105,SL!B:C,2,0)</f>
        <v>Inbound warehouse</v>
      </c>
      <c r="G105" s="113" t="s">
        <v>48</v>
      </c>
      <c r="H105" s="113" t="str">
        <f>VLOOKUP(G105,'MvT types'!B:C,2,0)</f>
        <v>reception</v>
      </c>
      <c r="I105" s="156">
        <v>500</v>
      </c>
      <c r="J105" s="189">
        <f>VLOOKUP(B105,'list of materials'!A:E,5,0)</f>
        <v>25</v>
      </c>
      <c r="K105" s="156">
        <f t="shared" si="10"/>
        <v>12500</v>
      </c>
    </row>
    <row r="106" spans="1:11" x14ac:dyDescent="0.3">
      <c r="A106" s="113" t="s">
        <v>82</v>
      </c>
      <c r="B106" s="113">
        <v>867156</v>
      </c>
      <c r="C106" s="113" t="str">
        <f>VLOOKUP(B106,'list of materials'!A:B,2,0)</f>
        <v>Chocolate mass</v>
      </c>
      <c r="D106" s="113" t="str">
        <f>VLOOKUP(B106,'list of materials'!A:C,3,0)</f>
        <v>RM</v>
      </c>
      <c r="E106" s="113" t="s">
        <v>71</v>
      </c>
      <c r="F106" s="113" t="str">
        <f>VLOOKUP(E106,SL!B:C,2,0)</f>
        <v>Inbound warehouse</v>
      </c>
      <c r="G106" s="113" t="s">
        <v>48</v>
      </c>
      <c r="H106" s="113" t="str">
        <f>VLOOKUP(G106,'MvT types'!B:C,2,0)</f>
        <v>reception</v>
      </c>
      <c r="I106" s="156">
        <v>100</v>
      </c>
      <c r="J106" s="189">
        <f>VLOOKUP(B106,'list of materials'!A:E,5,0)</f>
        <v>28</v>
      </c>
      <c r="K106" s="156">
        <f t="shared" si="10"/>
        <v>2800</v>
      </c>
    </row>
    <row r="107" spans="1:11" x14ac:dyDescent="0.3">
      <c r="A107" s="113" t="s">
        <v>82</v>
      </c>
      <c r="B107" s="113">
        <v>765190</v>
      </c>
      <c r="C107" s="113" t="str">
        <f>VLOOKUP(B107,'list of materials'!A:B,2,0)</f>
        <v>Caramel</v>
      </c>
      <c r="D107" s="113" t="str">
        <f>VLOOKUP(B107,'list of materials'!A:C,3,0)</f>
        <v>RM</v>
      </c>
      <c r="E107" s="113" t="s">
        <v>71</v>
      </c>
      <c r="F107" s="113" t="str">
        <f>VLOOKUP(E107,SL!B:C,2,0)</f>
        <v>Inbound warehouse</v>
      </c>
      <c r="G107" s="113" t="s">
        <v>48</v>
      </c>
      <c r="H107" s="113" t="str">
        <f>VLOOKUP(G107,'MvT types'!B:C,2,0)</f>
        <v>reception</v>
      </c>
      <c r="I107" s="156">
        <v>50</v>
      </c>
      <c r="J107" s="189">
        <f>VLOOKUP(B107,'list of materials'!A:E,5,0)</f>
        <v>15</v>
      </c>
      <c r="K107" s="156">
        <f t="shared" si="10"/>
        <v>750</v>
      </c>
    </row>
    <row r="108" spans="1:11" x14ac:dyDescent="0.3">
      <c r="A108" s="113" t="s">
        <v>82</v>
      </c>
      <c r="B108" s="113">
        <v>657341</v>
      </c>
      <c r="C108" s="113" t="str">
        <f>VLOOKUP(B108,'list of materials'!A:B,2,0)</f>
        <v>Raw Peanut</v>
      </c>
      <c r="D108" s="113" t="str">
        <f>VLOOKUP(B108,'list of materials'!A:C,3,0)</f>
        <v>RM</v>
      </c>
      <c r="E108" s="113" t="s">
        <v>71</v>
      </c>
      <c r="F108" s="113" t="str">
        <f>VLOOKUP(E108,SL!B:C,2,0)</f>
        <v>Inbound warehouse</v>
      </c>
      <c r="G108" s="113" t="s">
        <v>48</v>
      </c>
      <c r="H108" s="113" t="str">
        <f>VLOOKUP(G108,'MvT types'!B:C,2,0)</f>
        <v>reception</v>
      </c>
      <c r="I108" s="156">
        <v>50</v>
      </c>
      <c r="J108" s="189">
        <f>VLOOKUP(B108,'list of materials'!A:E,5,0)</f>
        <v>25</v>
      </c>
      <c r="K108" s="156">
        <f t="shared" si="10"/>
        <v>1250</v>
      </c>
    </row>
    <row r="109" spans="1:11" x14ac:dyDescent="0.3">
      <c r="A109" s="113" t="s">
        <v>82</v>
      </c>
      <c r="B109" s="113">
        <v>560196</v>
      </c>
      <c r="C109" s="113" t="str">
        <f>VLOOKUP(B109,'list of materials'!A:B,2,0)</f>
        <v>Biscuit</v>
      </c>
      <c r="D109" s="113" t="str">
        <f>VLOOKUP(B109,'list of materials'!A:C,3,0)</f>
        <v>RM</v>
      </c>
      <c r="E109" s="113" t="s">
        <v>71</v>
      </c>
      <c r="F109" s="113" t="str">
        <f>VLOOKUP(E109,SL!B:C,2,0)</f>
        <v>Inbound warehouse</v>
      </c>
      <c r="G109" s="113" t="s">
        <v>48</v>
      </c>
      <c r="H109" s="113" t="str">
        <f>VLOOKUP(G109,'MvT types'!B:C,2,0)</f>
        <v>reception</v>
      </c>
      <c r="I109" s="156">
        <v>100</v>
      </c>
      <c r="J109" s="189">
        <f>VLOOKUP(B109,'list of materials'!A:E,5,0)</f>
        <v>25</v>
      </c>
      <c r="K109" s="156">
        <f t="shared" si="10"/>
        <v>2500</v>
      </c>
    </row>
    <row r="110" spans="1:11" x14ac:dyDescent="0.3">
      <c r="A110" s="113" t="s">
        <v>83</v>
      </c>
      <c r="B110" s="113">
        <v>867156</v>
      </c>
      <c r="C110" s="113" t="str">
        <f>VLOOKUP(B110,'list of materials'!A:B,2,0)</f>
        <v>Chocolate mass</v>
      </c>
      <c r="D110" s="113" t="str">
        <f>VLOOKUP(B110,'list of materials'!A:C,3,0)</f>
        <v>RM</v>
      </c>
      <c r="E110" s="113" t="s">
        <v>71</v>
      </c>
      <c r="F110" s="113" t="str">
        <f>VLOOKUP(E110,SL!B:C,2,0)</f>
        <v>Inbound warehouse</v>
      </c>
      <c r="G110" s="113" t="s">
        <v>48</v>
      </c>
      <c r="H110" s="113" t="str">
        <f>VLOOKUP(G110,'MvT types'!B:C,2,0)</f>
        <v>reception</v>
      </c>
      <c r="I110" s="156">
        <v>100</v>
      </c>
      <c r="J110" s="189">
        <f>VLOOKUP(B110,'list of materials'!A:F,6,0)</f>
        <v>31</v>
      </c>
      <c r="K110" s="156">
        <f t="shared" si="10"/>
        <v>3100</v>
      </c>
    </row>
    <row r="111" spans="1:11" x14ac:dyDescent="0.3">
      <c r="A111" s="113" t="s">
        <v>83</v>
      </c>
      <c r="B111" s="113">
        <v>765190</v>
      </c>
      <c r="C111" s="113" t="str">
        <f>VLOOKUP(B111,'list of materials'!A:B,2,0)</f>
        <v>Caramel</v>
      </c>
      <c r="D111" s="113" t="str">
        <f>VLOOKUP(B111,'list of materials'!A:C,3,0)</f>
        <v>RM</v>
      </c>
      <c r="E111" s="113" t="s">
        <v>71</v>
      </c>
      <c r="F111" s="113" t="str">
        <f>VLOOKUP(E111,SL!B:C,2,0)</f>
        <v>Inbound warehouse</v>
      </c>
      <c r="G111" s="113" t="s">
        <v>48</v>
      </c>
      <c r="H111" s="113" t="str">
        <f>VLOOKUP(G111,'MvT types'!B:C,2,0)</f>
        <v>reception</v>
      </c>
      <c r="I111" s="156">
        <v>50</v>
      </c>
      <c r="J111" s="189">
        <f>VLOOKUP(B111,'list of materials'!A:F,6,0)</f>
        <v>16</v>
      </c>
      <c r="K111" s="156">
        <f t="shared" si="10"/>
        <v>800</v>
      </c>
    </row>
    <row r="112" spans="1:11" x14ac:dyDescent="0.3">
      <c r="A112" s="113" t="s">
        <v>83</v>
      </c>
      <c r="B112" s="113">
        <v>657341</v>
      </c>
      <c r="C112" s="113" t="str">
        <f>VLOOKUP(B112,'list of materials'!A:B,2,0)</f>
        <v>Raw Peanut</v>
      </c>
      <c r="D112" s="113" t="str">
        <f>VLOOKUP(B112,'list of materials'!A:C,3,0)</f>
        <v>RM</v>
      </c>
      <c r="E112" s="113" t="s">
        <v>71</v>
      </c>
      <c r="F112" s="113" t="str">
        <f>VLOOKUP(E112,SL!B:C,2,0)</f>
        <v>Inbound warehouse</v>
      </c>
      <c r="G112" s="113" t="s">
        <v>48</v>
      </c>
      <c r="H112" s="113" t="str">
        <f>VLOOKUP(G112,'MvT types'!B:C,2,0)</f>
        <v>reception</v>
      </c>
      <c r="I112" s="156">
        <v>50</v>
      </c>
      <c r="J112" s="189">
        <f>VLOOKUP(B112,'list of materials'!A:F,6,0)</f>
        <v>24</v>
      </c>
      <c r="K112" s="156">
        <f t="shared" si="10"/>
        <v>1200</v>
      </c>
    </row>
    <row r="113" spans="1:11" x14ac:dyDescent="0.3">
      <c r="A113" s="113" t="s">
        <v>83</v>
      </c>
      <c r="B113" s="113">
        <v>560196</v>
      </c>
      <c r="C113" s="113" t="str">
        <f>VLOOKUP(B113,'list of materials'!A:B,2,0)</f>
        <v>Biscuit</v>
      </c>
      <c r="D113" s="113" t="str">
        <f>VLOOKUP(B113,'list of materials'!A:C,3,0)</f>
        <v>RM</v>
      </c>
      <c r="E113" s="113" t="s">
        <v>71</v>
      </c>
      <c r="F113" s="113" t="str">
        <f>VLOOKUP(E113,SL!B:C,2,0)</f>
        <v>Inbound warehouse</v>
      </c>
      <c r="G113" s="113" t="s">
        <v>48</v>
      </c>
      <c r="H113" s="113" t="str">
        <f>VLOOKUP(G113,'MvT types'!B:C,2,0)</f>
        <v>reception</v>
      </c>
      <c r="I113" s="156">
        <v>89</v>
      </c>
      <c r="J113" s="189">
        <f>VLOOKUP(B113,'list of materials'!A:F,6,0)</f>
        <v>27</v>
      </c>
      <c r="K113" s="156">
        <f t="shared" si="10"/>
        <v>2403</v>
      </c>
    </row>
    <row r="114" spans="1:11" x14ac:dyDescent="0.3">
      <c r="A114" s="113" t="s">
        <v>82</v>
      </c>
      <c r="B114" s="113">
        <v>876145</v>
      </c>
      <c r="C114" s="113" t="str">
        <f>VLOOKUP(B114,'list of materials'!A:B,2,0)</f>
        <v>Fried Peanut</v>
      </c>
      <c r="D114" s="113" t="str">
        <f>VLOOKUP(B114,'list of materials'!A:C,3,0)</f>
        <v>SFG</v>
      </c>
      <c r="E114" s="113" t="s">
        <v>71</v>
      </c>
      <c r="F114" s="113" t="str">
        <f>VLOOKUP(E114,SL!B:C,2,0)</f>
        <v>Inbound warehouse</v>
      </c>
      <c r="G114" s="113" t="s">
        <v>55</v>
      </c>
      <c r="H114" s="113" t="str">
        <f>VLOOKUP(G114,'MvT types'!B:C,2,0)</f>
        <v>Inventory stock-take</v>
      </c>
      <c r="I114" s="113">
        <v>-3</v>
      </c>
      <c r="J114" s="189">
        <f>VLOOKUP(B114,'list of materials'!A:E,5,0)</f>
        <v>28.75</v>
      </c>
      <c r="K114" s="156">
        <f t="shared" si="10"/>
        <v>-86.25</v>
      </c>
    </row>
    <row r="115" spans="1:11" x14ac:dyDescent="0.3">
      <c r="A115" s="113" t="s">
        <v>82</v>
      </c>
      <c r="B115" s="113">
        <v>120301</v>
      </c>
      <c r="C115" s="113" t="str">
        <f>VLOOKUP(B115,'list of materials'!A:B,2,0)</f>
        <v>Fint</v>
      </c>
      <c r="D115" s="113" t="str">
        <f>VLOOKUP(B115,'list of materials'!A:C,3,0)</f>
        <v>FG</v>
      </c>
      <c r="E115" s="113" t="s">
        <v>71</v>
      </c>
      <c r="F115" s="113" t="str">
        <f>VLOOKUP(E115,SL!B:C,2,0)</f>
        <v>Inbound warehouse</v>
      </c>
      <c r="G115" s="113" t="s">
        <v>55</v>
      </c>
      <c r="H115" s="113" t="str">
        <f>VLOOKUP(G115,'MvT types'!B:C,2,0)</f>
        <v>Inventory stock-take</v>
      </c>
      <c r="I115" s="156">
        <v>-10</v>
      </c>
      <c r="J115" s="189">
        <f>VLOOKUP(B115,'list of materials'!A:E,5,0)</f>
        <v>27.24775</v>
      </c>
      <c r="K115" s="156">
        <f>I115*J115</f>
        <v>-272.47750000000002</v>
      </c>
    </row>
    <row r="116" spans="1:11" x14ac:dyDescent="0.3">
      <c r="A116" s="113" t="s">
        <v>83</v>
      </c>
      <c r="B116" s="113">
        <v>156212</v>
      </c>
      <c r="C116" s="113" t="str">
        <f>VLOOKUP(B116,'list of materials'!A:B,2,0)</f>
        <v>Step</v>
      </c>
      <c r="D116" s="113" t="str">
        <f>VLOOKUP(B116,'list of materials'!A:C,3,0)</f>
        <v>FG</v>
      </c>
      <c r="E116" s="113" t="s">
        <v>72</v>
      </c>
      <c r="F116" s="113" t="str">
        <f>VLOOKUP(E116,SL!B:C,2,0)</f>
        <v>Outbound warehouse</v>
      </c>
      <c r="G116" s="113" t="s">
        <v>140</v>
      </c>
      <c r="H116" s="113" t="str">
        <f>VLOOKUP(G116,'MvT types'!B:C,2,0)</f>
        <v>Write-off</v>
      </c>
      <c r="I116" s="113">
        <v>-3</v>
      </c>
      <c r="J116" s="189">
        <f>VLOOKUP(B116,'list of materials'!A:F,6,0)</f>
        <v>28.45</v>
      </c>
      <c r="K116" s="156">
        <f>I116*J116</f>
        <v>-85.35</v>
      </c>
    </row>
  </sheetData>
  <autoFilter ref="A1:L116" xr:uid="{5286BEB3-F79E-4BA7-B525-588B8BF8FA49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03C45-6C38-4F1B-8B50-E2FCECC751F2}">
  <sheetPr>
    <tabColor theme="0"/>
  </sheetPr>
  <dimension ref="A1:G65"/>
  <sheetViews>
    <sheetView workbookViewId="0">
      <pane ySplit="2" topLeftCell="A15" activePane="bottomLeft" state="frozen"/>
      <selection pane="bottomLeft" activeCell="I14" sqref="I14"/>
    </sheetView>
  </sheetViews>
  <sheetFormatPr defaultRowHeight="14.4" x14ac:dyDescent="0.3"/>
  <cols>
    <col min="1" max="1" width="22" bestFit="1" customWidth="1"/>
    <col min="2" max="2" width="23.44140625" bestFit="1" customWidth="1"/>
    <col min="3" max="3" width="14" bestFit="1" customWidth="1"/>
    <col min="4" max="4" width="9.5546875" bestFit="1" customWidth="1"/>
    <col min="5" max="5" width="9.88671875" bestFit="1" customWidth="1"/>
    <col min="6" max="6" width="9.5546875" bestFit="1" customWidth="1"/>
    <col min="7" max="8" width="10.77734375" bestFit="1" customWidth="1"/>
  </cols>
  <sheetData>
    <row r="1" spans="1:7" x14ac:dyDescent="0.3">
      <c r="A1" s="159" t="s">
        <v>179</v>
      </c>
      <c r="D1" s="159" t="s">
        <v>57</v>
      </c>
    </row>
    <row r="2" spans="1:7" x14ac:dyDescent="0.3">
      <c r="A2" s="159" t="s">
        <v>79</v>
      </c>
      <c r="B2" s="159" t="s">
        <v>74</v>
      </c>
      <c r="C2" s="159" t="s">
        <v>60</v>
      </c>
      <c r="D2" t="s">
        <v>77</v>
      </c>
      <c r="E2" t="s">
        <v>81</v>
      </c>
      <c r="F2" t="s">
        <v>82</v>
      </c>
      <c r="G2" t="s">
        <v>83</v>
      </c>
    </row>
    <row r="3" spans="1:7" x14ac:dyDescent="0.3">
      <c r="A3" t="s">
        <v>65</v>
      </c>
      <c r="B3" t="s">
        <v>47</v>
      </c>
      <c r="C3" t="s">
        <v>32</v>
      </c>
      <c r="D3" s="160"/>
      <c r="E3" s="160">
        <v>-780.30000000000007</v>
      </c>
      <c r="F3" s="160">
        <v>-1224.0000000000002</v>
      </c>
      <c r="G3" s="160">
        <v>-1142.3999999999999</v>
      </c>
    </row>
    <row r="4" spans="1:7" x14ac:dyDescent="0.3">
      <c r="C4" t="s">
        <v>12</v>
      </c>
      <c r="D4" s="160"/>
      <c r="E4" s="160">
        <v>-10110.24</v>
      </c>
      <c r="F4" s="160">
        <v>-15859.199999999999</v>
      </c>
      <c r="G4" s="160">
        <v>-15363.599999999999</v>
      </c>
    </row>
    <row r="5" spans="1:7" x14ac:dyDescent="0.3">
      <c r="C5" t="s">
        <v>14</v>
      </c>
      <c r="D5" s="160"/>
      <c r="E5" s="160">
        <v>-3005.8125</v>
      </c>
      <c r="F5" s="160">
        <v>-4715</v>
      </c>
      <c r="G5" s="160">
        <v>-3960.6000000000004</v>
      </c>
    </row>
    <row r="6" spans="1:7" x14ac:dyDescent="0.3">
      <c r="B6" s="163" t="s">
        <v>180</v>
      </c>
      <c r="C6" s="163"/>
      <c r="D6" s="164"/>
      <c r="E6" s="164">
        <v>-13896.352499999999</v>
      </c>
      <c r="F6" s="164">
        <v>-21798.2</v>
      </c>
      <c r="G6" s="164">
        <v>-20466.599999999999</v>
      </c>
    </row>
    <row r="7" spans="1:7" x14ac:dyDescent="0.3">
      <c r="B7" t="s">
        <v>51</v>
      </c>
      <c r="C7" t="s">
        <v>32</v>
      </c>
      <c r="D7" s="160"/>
      <c r="E7" s="160">
        <v>780.30000000000007</v>
      </c>
      <c r="F7" s="160">
        <v>1224.0000000000002</v>
      </c>
      <c r="G7" s="160">
        <v>1142.3999999999999</v>
      </c>
    </row>
    <row r="8" spans="1:7" x14ac:dyDescent="0.3">
      <c r="C8" t="s">
        <v>12</v>
      </c>
      <c r="D8" s="160"/>
      <c r="E8" s="160">
        <v>10110.24</v>
      </c>
      <c r="F8" s="160">
        <v>15859.199999999999</v>
      </c>
      <c r="G8" s="160">
        <v>15363.599999999999</v>
      </c>
    </row>
    <row r="9" spans="1:7" x14ac:dyDescent="0.3">
      <c r="C9" t="s">
        <v>14</v>
      </c>
      <c r="D9" s="160"/>
      <c r="E9" s="160">
        <v>6168.3125</v>
      </c>
      <c r="F9" s="160">
        <v>10610.1875</v>
      </c>
      <c r="G9" s="160">
        <v>6720.6</v>
      </c>
    </row>
    <row r="10" spans="1:7" x14ac:dyDescent="0.3">
      <c r="B10" s="163" t="s">
        <v>181</v>
      </c>
      <c r="C10" s="163"/>
      <c r="D10" s="164"/>
      <c r="E10" s="164">
        <v>17058.852500000001</v>
      </c>
      <c r="F10" s="164">
        <v>27693.387500000001</v>
      </c>
      <c r="G10" s="164">
        <v>23226.6</v>
      </c>
    </row>
    <row r="11" spans="1:7" x14ac:dyDescent="0.3">
      <c r="B11" t="s">
        <v>139</v>
      </c>
      <c r="C11" t="s">
        <v>32</v>
      </c>
      <c r="D11" s="160"/>
      <c r="E11" s="160">
        <v>-59.7</v>
      </c>
      <c r="F11" s="160">
        <v>-15</v>
      </c>
      <c r="G11" s="160">
        <v>-32</v>
      </c>
    </row>
    <row r="12" spans="1:7" x14ac:dyDescent="0.3">
      <c r="C12" t="s">
        <v>12</v>
      </c>
      <c r="D12" s="160"/>
      <c r="E12" s="160">
        <v>114.23999999999803</v>
      </c>
      <c r="F12" s="160">
        <v>-56</v>
      </c>
      <c r="G12" s="160">
        <v>-124</v>
      </c>
    </row>
    <row r="13" spans="1:7" x14ac:dyDescent="0.3">
      <c r="B13" s="163" t="s">
        <v>182</v>
      </c>
      <c r="C13" s="163"/>
      <c r="D13" s="164"/>
      <c r="E13" s="164">
        <v>54.539999999998031</v>
      </c>
      <c r="F13" s="164">
        <v>-71</v>
      </c>
      <c r="G13" s="164">
        <v>-156</v>
      </c>
    </row>
    <row r="14" spans="1:7" x14ac:dyDescent="0.3">
      <c r="A14" s="161" t="s">
        <v>173</v>
      </c>
      <c r="B14" s="161"/>
      <c r="C14" s="161"/>
      <c r="D14" s="162"/>
      <c r="E14" s="162">
        <v>3217.0399999999981</v>
      </c>
      <c r="F14" s="162">
        <v>5824.1874999999982</v>
      </c>
      <c r="G14" s="162">
        <v>2604.0000000000018</v>
      </c>
    </row>
    <row r="15" spans="1:7" x14ac:dyDescent="0.3">
      <c r="A15" t="s">
        <v>62</v>
      </c>
      <c r="B15" t="s">
        <v>51</v>
      </c>
      <c r="C15" t="s">
        <v>32</v>
      </c>
      <c r="D15" s="160"/>
      <c r="E15" s="160">
        <v>-780.30000000000007</v>
      </c>
      <c r="F15" s="160">
        <v>-1224.0000000000002</v>
      </c>
      <c r="G15" s="160">
        <v>-1142.3999999999999</v>
      </c>
    </row>
    <row r="16" spans="1:7" x14ac:dyDescent="0.3">
      <c r="C16" t="s">
        <v>12</v>
      </c>
      <c r="D16" s="160"/>
      <c r="E16" s="160">
        <v>-10110.24</v>
      </c>
      <c r="F16" s="160">
        <v>-15859.199999999999</v>
      </c>
      <c r="G16" s="160">
        <v>-15363.599999999999</v>
      </c>
    </row>
    <row r="17" spans="1:7" x14ac:dyDescent="0.3">
      <c r="C17" t="s">
        <v>14</v>
      </c>
      <c r="D17" s="160"/>
      <c r="E17" s="160">
        <v>-3005.8125</v>
      </c>
      <c r="F17" s="160">
        <v>-4715</v>
      </c>
      <c r="G17" s="160">
        <v>-3960.6000000000004</v>
      </c>
    </row>
    <row r="18" spans="1:7" x14ac:dyDescent="0.3">
      <c r="C18" t="s">
        <v>30</v>
      </c>
      <c r="D18" s="160"/>
      <c r="E18" s="160">
        <v>-3017.3125</v>
      </c>
      <c r="F18" s="160">
        <v>-5895.1875</v>
      </c>
      <c r="G18" s="160">
        <v>-2760</v>
      </c>
    </row>
    <row r="19" spans="1:7" x14ac:dyDescent="0.3">
      <c r="B19" s="163" t="s">
        <v>181</v>
      </c>
      <c r="C19" s="163"/>
      <c r="D19" s="164"/>
      <c r="E19" s="164">
        <v>-16913.665000000001</v>
      </c>
      <c r="F19" s="164">
        <v>-27693.387500000001</v>
      </c>
      <c r="G19" s="164">
        <v>-23226.6</v>
      </c>
    </row>
    <row r="20" spans="1:7" x14ac:dyDescent="0.3">
      <c r="B20" t="s">
        <v>56</v>
      </c>
      <c r="C20" t="s">
        <v>32</v>
      </c>
      <c r="D20" s="160"/>
      <c r="E20" s="160"/>
      <c r="F20" s="160">
        <v>-300</v>
      </c>
      <c r="G20" s="160"/>
    </row>
    <row r="21" spans="1:7" x14ac:dyDescent="0.3">
      <c r="C21" t="s">
        <v>42</v>
      </c>
      <c r="D21" s="160"/>
      <c r="E21" s="160"/>
      <c r="F21" s="160">
        <v>-272.47750000000002</v>
      </c>
      <c r="G21" s="160"/>
    </row>
    <row r="22" spans="1:7" x14ac:dyDescent="0.3">
      <c r="C22" t="s">
        <v>14</v>
      </c>
      <c r="D22" s="160"/>
      <c r="E22" s="160"/>
      <c r="F22" s="160">
        <v>-86.25</v>
      </c>
      <c r="G22" s="160"/>
    </row>
    <row r="23" spans="1:7" x14ac:dyDescent="0.3">
      <c r="C23" t="s">
        <v>30</v>
      </c>
      <c r="D23" s="160"/>
      <c r="E23" s="160"/>
      <c r="F23" s="160">
        <v>-300</v>
      </c>
      <c r="G23" s="160"/>
    </row>
    <row r="24" spans="1:7" x14ac:dyDescent="0.3">
      <c r="B24" s="163" t="s">
        <v>183</v>
      </c>
      <c r="C24" s="163"/>
      <c r="D24" s="164"/>
      <c r="E24" s="164"/>
      <c r="F24" s="164">
        <v>-958.72749999999996</v>
      </c>
      <c r="G24" s="164"/>
    </row>
    <row r="25" spans="1:7" x14ac:dyDescent="0.3">
      <c r="B25" t="s">
        <v>49</v>
      </c>
      <c r="C25" t="s">
        <v>31</v>
      </c>
      <c r="D25" s="160">
        <v>5750</v>
      </c>
      <c r="E25" s="160">
        <v>12500</v>
      </c>
      <c r="F25" s="160">
        <v>2500</v>
      </c>
      <c r="G25" s="160">
        <v>2403</v>
      </c>
    </row>
    <row r="26" spans="1:7" x14ac:dyDescent="0.3">
      <c r="C26" t="s">
        <v>32</v>
      </c>
      <c r="D26" s="160">
        <v>2970</v>
      </c>
      <c r="E26" s="160">
        <v>3000</v>
      </c>
      <c r="F26" s="160">
        <v>750</v>
      </c>
      <c r="G26" s="160">
        <v>800</v>
      </c>
    </row>
    <row r="27" spans="1:7" x14ac:dyDescent="0.3">
      <c r="C27" t="s">
        <v>12</v>
      </c>
      <c r="D27" s="160">
        <v>69468</v>
      </c>
      <c r="E27" s="160">
        <v>11200</v>
      </c>
      <c r="F27" s="160">
        <v>2800</v>
      </c>
      <c r="G27" s="160">
        <v>3100</v>
      </c>
    </row>
    <row r="28" spans="1:7" x14ac:dyDescent="0.3">
      <c r="C28" t="s">
        <v>30</v>
      </c>
      <c r="D28" s="160">
        <v>2237.5</v>
      </c>
      <c r="E28" s="160">
        <v>7500</v>
      </c>
      <c r="F28" s="160">
        <v>1250</v>
      </c>
      <c r="G28" s="160">
        <v>1200</v>
      </c>
    </row>
    <row r="29" spans="1:7" x14ac:dyDescent="0.3">
      <c r="B29" s="163" t="s">
        <v>184</v>
      </c>
      <c r="C29" s="163"/>
      <c r="D29" s="164">
        <v>80425.5</v>
      </c>
      <c r="E29" s="164">
        <v>34200</v>
      </c>
      <c r="F29" s="164">
        <v>7300</v>
      </c>
      <c r="G29" s="164">
        <v>7503</v>
      </c>
    </row>
    <row r="30" spans="1:7" x14ac:dyDescent="0.3">
      <c r="A30" s="161" t="s">
        <v>174</v>
      </c>
      <c r="B30" s="161"/>
      <c r="C30" s="161"/>
      <c r="D30" s="162">
        <v>80425.5</v>
      </c>
      <c r="E30" s="162">
        <v>17286.334999999999</v>
      </c>
      <c r="F30" s="162">
        <v>-21352.115000000002</v>
      </c>
      <c r="G30" s="162">
        <v>-15723.599999999999</v>
      </c>
    </row>
    <row r="31" spans="1:7" x14ac:dyDescent="0.3">
      <c r="A31" t="s">
        <v>64</v>
      </c>
      <c r="B31" t="s">
        <v>47</v>
      </c>
      <c r="C31" t="s">
        <v>30</v>
      </c>
      <c r="D31" s="160"/>
      <c r="E31" s="160">
        <v>-3017.3125</v>
      </c>
      <c r="F31" s="160">
        <v>-5895.1875</v>
      </c>
      <c r="G31" s="160">
        <v>-2760</v>
      </c>
    </row>
    <row r="32" spans="1:7" x14ac:dyDescent="0.3">
      <c r="B32" s="163" t="s">
        <v>180</v>
      </c>
      <c r="C32" s="163"/>
      <c r="D32" s="164"/>
      <c r="E32" s="164">
        <v>-3017.3125</v>
      </c>
      <c r="F32" s="164">
        <v>-5895.1875</v>
      </c>
      <c r="G32" s="164">
        <v>-2760</v>
      </c>
    </row>
    <row r="33" spans="1:7" x14ac:dyDescent="0.3">
      <c r="B33" t="s">
        <v>53</v>
      </c>
      <c r="C33" t="s">
        <v>14</v>
      </c>
      <c r="D33" s="160"/>
      <c r="E33" s="160">
        <v>3162.5</v>
      </c>
      <c r="F33" s="160">
        <v>5895.1875</v>
      </c>
      <c r="G33" s="160">
        <v>2760</v>
      </c>
    </row>
    <row r="34" spans="1:7" x14ac:dyDescent="0.3">
      <c r="B34" s="163" t="s">
        <v>185</v>
      </c>
      <c r="C34" s="163"/>
      <c r="D34" s="164"/>
      <c r="E34" s="164">
        <v>3162.5</v>
      </c>
      <c r="F34" s="164">
        <v>5895.1875</v>
      </c>
      <c r="G34" s="164">
        <v>2760</v>
      </c>
    </row>
    <row r="35" spans="1:7" x14ac:dyDescent="0.3">
      <c r="B35" t="s">
        <v>51</v>
      </c>
      <c r="C35" t="s">
        <v>14</v>
      </c>
      <c r="D35" s="160"/>
      <c r="E35" s="160">
        <v>-3162.5</v>
      </c>
      <c r="F35" s="160">
        <v>-5895.1875</v>
      </c>
      <c r="G35" s="160">
        <v>-2760</v>
      </c>
    </row>
    <row r="36" spans="1:7" x14ac:dyDescent="0.3">
      <c r="C36" t="s">
        <v>30</v>
      </c>
      <c r="D36" s="160"/>
      <c r="E36" s="160">
        <v>3017.3125</v>
      </c>
      <c r="F36" s="160">
        <v>5895.1875</v>
      </c>
      <c r="G36" s="160">
        <v>2760</v>
      </c>
    </row>
    <row r="37" spans="1:7" x14ac:dyDescent="0.3">
      <c r="B37" s="163" t="s">
        <v>181</v>
      </c>
      <c r="C37" s="163"/>
      <c r="D37" s="164"/>
      <c r="E37" s="164">
        <v>-145.1875</v>
      </c>
      <c r="F37" s="164">
        <v>0</v>
      </c>
      <c r="G37" s="164">
        <v>0</v>
      </c>
    </row>
    <row r="38" spans="1:7" x14ac:dyDescent="0.3">
      <c r="B38" t="s">
        <v>139</v>
      </c>
      <c r="C38" t="s">
        <v>30</v>
      </c>
      <c r="D38" s="160"/>
      <c r="E38" s="160">
        <v>-50</v>
      </c>
      <c r="F38" s="160">
        <v>-75</v>
      </c>
      <c r="G38" s="160">
        <v>-24</v>
      </c>
    </row>
    <row r="39" spans="1:7" x14ac:dyDescent="0.3">
      <c r="B39" s="163" t="s">
        <v>182</v>
      </c>
      <c r="C39" s="163"/>
      <c r="D39" s="164"/>
      <c r="E39" s="164">
        <v>-50</v>
      </c>
      <c r="F39" s="164">
        <v>-75</v>
      </c>
      <c r="G39" s="164">
        <v>-24</v>
      </c>
    </row>
    <row r="40" spans="1:7" x14ac:dyDescent="0.3">
      <c r="A40" s="161" t="s">
        <v>175</v>
      </c>
      <c r="B40" s="161"/>
      <c r="C40" s="161"/>
      <c r="D40" s="162"/>
      <c r="E40" s="162">
        <v>-50</v>
      </c>
      <c r="F40" s="162">
        <v>-75</v>
      </c>
      <c r="G40" s="162">
        <v>-24</v>
      </c>
    </row>
    <row r="41" spans="1:7" x14ac:dyDescent="0.3">
      <c r="A41" t="s">
        <v>73</v>
      </c>
      <c r="B41" t="s">
        <v>91</v>
      </c>
      <c r="C41" t="s">
        <v>42</v>
      </c>
      <c r="D41" s="160"/>
      <c r="E41" s="160">
        <v>-8174.3249999999998</v>
      </c>
      <c r="F41" s="160">
        <v>-24522.974999999999</v>
      </c>
      <c r="G41" s="160">
        <v>-23407.84</v>
      </c>
    </row>
    <row r="42" spans="1:7" x14ac:dyDescent="0.3">
      <c r="C42" t="s">
        <v>43</v>
      </c>
      <c r="D42" s="160"/>
      <c r="E42" s="160">
        <v>-12972.5</v>
      </c>
      <c r="F42" s="160">
        <v>-33728.5</v>
      </c>
      <c r="G42" s="160">
        <v>-28450</v>
      </c>
    </row>
    <row r="43" spans="1:7" x14ac:dyDescent="0.3">
      <c r="B43" s="163" t="s">
        <v>186</v>
      </c>
      <c r="C43" s="163"/>
      <c r="D43" s="164"/>
      <c r="E43" s="164">
        <v>-21146.825000000001</v>
      </c>
      <c r="F43" s="164">
        <v>-58251.474999999999</v>
      </c>
      <c r="G43" s="164">
        <v>-51857.84</v>
      </c>
    </row>
    <row r="44" spans="1:7" x14ac:dyDescent="0.3">
      <c r="B44" t="s">
        <v>51</v>
      </c>
      <c r="C44" t="s">
        <v>42</v>
      </c>
      <c r="D44" s="160"/>
      <c r="E44" s="160">
        <v>13896.352499999999</v>
      </c>
      <c r="F44" s="160">
        <v>21798.2</v>
      </c>
      <c r="G44" s="160">
        <v>20481.86</v>
      </c>
    </row>
    <row r="45" spans="1:7" x14ac:dyDescent="0.3">
      <c r="C45" t="s">
        <v>43</v>
      </c>
      <c r="D45" s="160"/>
      <c r="E45" s="160">
        <v>25945</v>
      </c>
      <c r="F45" s="160">
        <v>38917.5</v>
      </c>
      <c r="G45" s="160">
        <v>8620.35</v>
      </c>
    </row>
    <row r="46" spans="1:7" x14ac:dyDescent="0.3">
      <c r="B46" s="163" t="s">
        <v>181</v>
      </c>
      <c r="C46" s="163"/>
      <c r="D46" s="164"/>
      <c r="E46" s="164">
        <v>39841.352500000001</v>
      </c>
      <c r="F46" s="164">
        <v>60715.7</v>
      </c>
      <c r="G46" s="164">
        <v>29102.21</v>
      </c>
    </row>
    <row r="47" spans="1:7" x14ac:dyDescent="0.3">
      <c r="B47" t="s">
        <v>139</v>
      </c>
      <c r="C47" t="s">
        <v>43</v>
      </c>
      <c r="D47" s="160"/>
      <c r="E47" s="160"/>
      <c r="F47" s="160"/>
      <c r="G47" s="160">
        <v>-85.35</v>
      </c>
    </row>
    <row r="48" spans="1:7" x14ac:dyDescent="0.3">
      <c r="B48" s="163" t="s">
        <v>182</v>
      </c>
      <c r="C48" s="163"/>
      <c r="D48" s="164"/>
      <c r="E48" s="164"/>
      <c r="F48" s="164"/>
      <c r="G48" s="164">
        <v>-85.35</v>
      </c>
    </row>
    <row r="49" spans="1:7" x14ac:dyDescent="0.3">
      <c r="A49" s="161" t="s">
        <v>176</v>
      </c>
      <c r="B49" s="161"/>
      <c r="C49" s="161"/>
      <c r="D49" s="162"/>
      <c r="E49" s="162">
        <v>18694.527499999997</v>
      </c>
      <c r="F49" s="162">
        <v>2464.2250000000058</v>
      </c>
      <c r="G49" s="162">
        <v>-22840.979999999996</v>
      </c>
    </row>
    <row r="50" spans="1:7" x14ac:dyDescent="0.3">
      <c r="A50" t="s">
        <v>70</v>
      </c>
      <c r="B50" t="s">
        <v>53</v>
      </c>
      <c r="C50" t="s">
        <v>42</v>
      </c>
      <c r="D50" s="160"/>
      <c r="E50" s="160">
        <v>13896.352499999999</v>
      </c>
      <c r="F50" s="160">
        <v>21798.2</v>
      </c>
      <c r="G50" s="160">
        <v>20481.86</v>
      </c>
    </row>
    <row r="51" spans="1:7" x14ac:dyDescent="0.3">
      <c r="C51" t="s">
        <v>43</v>
      </c>
      <c r="D51" s="160"/>
      <c r="E51" s="160">
        <v>25945</v>
      </c>
      <c r="F51" s="160">
        <v>38917.5</v>
      </c>
      <c r="G51" s="160">
        <v>8620.35</v>
      </c>
    </row>
    <row r="52" spans="1:7" x14ac:dyDescent="0.3">
      <c r="B52" s="163" t="s">
        <v>185</v>
      </c>
      <c r="C52" s="163"/>
      <c r="D52" s="164"/>
      <c r="E52" s="164">
        <v>39841.352500000001</v>
      </c>
      <c r="F52" s="164">
        <v>60715.7</v>
      </c>
      <c r="G52" s="164">
        <v>29102.21</v>
      </c>
    </row>
    <row r="53" spans="1:7" x14ac:dyDescent="0.3">
      <c r="B53" t="s">
        <v>51</v>
      </c>
      <c r="C53" t="s">
        <v>42</v>
      </c>
      <c r="D53" s="160"/>
      <c r="E53" s="160">
        <v>-13896.352499999999</v>
      </c>
      <c r="F53" s="160">
        <v>-21798.2</v>
      </c>
      <c r="G53" s="160">
        <v>-20481.86</v>
      </c>
    </row>
    <row r="54" spans="1:7" x14ac:dyDescent="0.3">
      <c r="C54" t="s">
        <v>43</v>
      </c>
      <c r="D54" s="160"/>
      <c r="E54" s="160">
        <v>-25945</v>
      </c>
      <c r="F54" s="160">
        <v>-38917.5</v>
      </c>
      <c r="G54" s="160">
        <v>-8620.35</v>
      </c>
    </row>
    <row r="55" spans="1:7" x14ac:dyDescent="0.3">
      <c r="B55" s="163" t="s">
        <v>181</v>
      </c>
      <c r="C55" s="163"/>
      <c r="D55" s="164"/>
      <c r="E55" s="164">
        <v>-39841.352500000001</v>
      </c>
      <c r="F55" s="164">
        <v>-60715.7</v>
      </c>
      <c r="G55" s="164">
        <v>-29102.21</v>
      </c>
    </row>
    <row r="56" spans="1:7" x14ac:dyDescent="0.3">
      <c r="A56" s="161" t="s">
        <v>177</v>
      </c>
      <c r="B56" s="161"/>
      <c r="C56" s="161"/>
      <c r="D56" s="162"/>
      <c r="E56" s="162">
        <v>0</v>
      </c>
      <c r="F56" s="162">
        <v>0</v>
      </c>
      <c r="G56" s="162">
        <v>-1.8189894035458565E-12</v>
      </c>
    </row>
    <row r="57" spans="1:7" x14ac:dyDescent="0.3">
      <c r="A57" t="s">
        <v>68</v>
      </c>
      <c r="B57" t="s">
        <v>47</v>
      </c>
      <c r="C57" t="s">
        <v>31</v>
      </c>
      <c r="D57" s="160"/>
      <c r="E57" s="160">
        <v>-8000</v>
      </c>
      <c r="F57" s="160">
        <v>-12000</v>
      </c>
      <c r="G57" s="160">
        <v>-2592</v>
      </c>
    </row>
    <row r="58" spans="1:7" x14ac:dyDescent="0.3">
      <c r="C58" t="s">
        <v>32</v>
      </c>
      <c r="D58" s="160"/>
      <c r="E58" s="160">
        <v>-1425</v>
      </c>
      <c r="F58" s="160">
        <v>-2137.5</v>
      </c>
      <c r="G58" s="160">
        <v>-456</v>
      </c>
    </row>
    <row r="59" spans="1:7" x14ac:dyDescent="0.3">
      <c r="C59" t="s">
        <v>12</v>
      </c>
      <c r="D59" s="160"/>
      <c r="E59" s="160">
        <v>-16520</v>
      </c>
      <c r="F59" s="160">
        <v>-24780</v>
      </c>
      <c r="G59" s="160">
        <v>-5487</v>
      </c>
    </row>
    <row r="60" spans="1:7" x14ac:dyDescent="0.3">
      <c r="B60" s="163" t="s">
        <v>180</v>
      </c>
      <c r="C60" s="163"/>
      <c r="D60" s="164"/>
      <c r="E60" s="164">
        <v>-25945</v>
      </c>
      <c r="F60" s="164">
        <v>-38917.5</v>
      </c>
      <c r="G60" s="164">
        <v>-8535</v>
      </c>
    </row>
    <row r="61" spans="1:7" x14ac:dyDescent="0.3">
      <c r="B61" t="s">
        <v>139</v>
      </c>
      <c r="C61" t="s">
        <v>31</v>
      </c>
      <c r="D61" s="160"/>
      <c r="E61" s="160">
        <v>-500</v>
      </c>
      <c r="F61" s="160">
        <v>-25</v>
      </c>
      <c r="G61" s="160">
        <v>-54</v>
      </c>
    </row>
    <row r="62" spans="1:7" x14ac:dyDescent="0.3">
      <c r="C62" t="s">
        <v>12</v>
      </c>
      <c r="D62" s="160"/>
      <c r="E62" s="160">
        <v>-28</v>
      </c>
      <c r="F62" s="160">
        <v>-28</v>
      </c>
      <c r="G62" s="160">
        <v>-62</v>
      </c>
    </row>
    <row r="63" spans="1:7" x14ac:dyDescent="0.3">
      <c r="B63" s="163" t="s">
        <v>182</v>
      </c>
      <c r="C63" s="163"/>
      <c r="D63" s="164"/>
      <c r="E63" s="164">
        <v>-528</v>
      </c>
      <c r="F63" s="164">
        <v>-53</v>
      </c>
      <c r="G63" s="164">
        <v>-116</v>
      </c>
    </row>
    <row r="64" spans="1:7" x14ac:dyDescent="0.3">
      <c r="A64" s="161" t="s">
        <v>178</v>
      </c>
      <c r="B64" s="161"/>
      <c r="C64" s="161"/>
      <c r="D64" s="162"/>
      <c r="E64" s="162">
        <v>-26473</v>
      </c>
      <c r="F64" s="162">
        <v>-38970.5</v>
      </c>
      <c r="G64" s="162">
        <v>-8651</v>
      </c>
    </row>
    <row r="65" spans="1:7" x14ac:dyDescent="0.3">
      <c r="A65" t="s">
        <v>92</v>
      </c>
      <c r="D65" s="160">
        <v>80425.5</v>
      </c>
      <c r="E65" s="160">
        <v>12674.902500000004</v>
      </c>
      <c r="F65" s="160">
        <v>-52109.202499999999</v>
      </c>
      <c r="G65" s="160">
        <v>-44635.58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5ADC2-1145-4F38-B3EB-F2B44F92EF93}">
  <sheetPr>
    <tabColor theme="0"/>
  </sheetPr>
  <dimension ref="B1:L29"/>
  <sheetViews>
    <sheetView zoomScaleNormal="100" workbookViewId="0">
      <selection activeCell="J22" sqref="J22"/>
    </sheetView>
  </sheetViews>
  <sheetFormatPr defaultColWidth="9.109375" defaultRowHeight="14.4" x14ac:dyDescent="0.3"/>
  <cols>
    <col min="1" max="1" width="2.33203125" style="113" customWidth="1"/>
    <col min="2" max="2" width="10" style="113" customWidth="1"/>
    <col min="3" max="3" width="12.109375" style="113" bestFit="1" customWidth="1"/>
    <col min="4" max="4" width="14.88671875" style="113" bestFit="1" customWidth="1"/>
    <col min="5" max="8" width="11.88671875" style="113" customWidth="1"/>
    <col min="9" max="16384" width="9.109375" style="113"/>
  </cols>
  <sheetData>
    <row r="1" spans="2:11" x14ac:dyDescent="0.3">
      <c r="C1" s="146" t="s">
        <v>59</v>
      </c>
      <c r="D1" s="146" t="s">
        <v>34</v>
      </c>
      <c r="E1" s="147" t="s">
        <v>77</v>
      </c>
      <c r="F1" s="147" t="s">
        <v>81</v>
      </c>
      <c r="G1" s="147" t="s">
        <v>82</v>
      </c>
      <c r="H1" s="147" t="s">
        <v>83</v>
      </c>
    </row>
    <row r="2" spans="2:11" x14ac:dyDescent="0.3">
      <c r="B2" s="233" t="s">
        <v>86</v>
      </c>
      <c r="C2" s="121">
        <v>120301</v>
      </c>
      <c r="D2" s="121" t="s">
        <v>42</v>
      </c>
      <c r="E2" s="148">
        <v>0</v>
      </c>
      <c r="F2" s="148">
        <f>E23</f>
        <v>0</v>
      </c>
      <c r="G2" s="148">
        <f>F23</f>
        <v>210</v>
      </c>
      <c r="H2" s="149">
        <f>G23</f>
        <v>100</v>
      </c>
      <c r="J2" s="113" t="s">
        <v>48</v>
      </c>
      <c r="K2" s="113" t="str">
        <f>VLOOKUP(J2,'MvT types'!B:C,2,0)</f>
        <v>reception</v>
      </c>
    </row>
    <row r="3" spans="2:11" x14ac:dyDescent="0.3">
      <c r="B3" s="234"/>
      <c r="C3" s="124">
        <v>156212</v>
      </c>
      <c r="D3" s="124" t="s">
        <v>43</v>
      </c>
      <c r="E3" s="150">
        <v>0</v>
      </c>
      <c r="F3" s="150">
        <f t="shared" ref="F3:H8" si="0">E24</f>
        <v>0</v>
      </c>
      <c r="G3" s="150">
        <f t="shared" si="0"/>
        <v>500</v>
      </c>
      <c r="H3" s="151">
        <f t="shared" si="0"/>
        <v>700</v>
      </c>
      <c r="J3" s="113" t="s">
        <v>44</v>
      </c>
      <c r="K3" s="113" t="str">
        <f>VLOOKUP(J3,'MvT types'!B:C,2,0)</f>
        <v>consumption</v>
      </c>
    </row>
    <row r="4" spans="2:11" x14ac:dyDescent="0.3">
      <c r="B4" s="234"/>
      <c r="C4" s="124">
        <v>867156</v>
      </c>
      <c r="D4" s="124" t="s">
        <v>12</v>
      </c>
      <c r="E4" s="150">
        <v>0</v>
      </c>
      <c r="F4" s="150">
        <f t="shared" si="0"/>
        <v>2481</v>
      </c>
      <c r="G4" s="150">
        <f t="shared" si="0"/>
        <v>1933</v>
      </c>
      <c r="H4" s="151">
        <f t="shared" si="0"/>
        <v>578.59999999999991</v>
      </c>
      <c r="J4" s="113" t="s">
        <v>50</v>
      </c>
      <c r="K4" s="113" t="str">
        <f>VLOOKUP(J4,'MvT types'!B:C,2,0)</f>
        <v>internal movement</v>
      </c>
    </row>
    <row r="5" spans="2:11" x14ac:dyDescent="0.3">
      <c r="B5" s="234"/>
      <c r="C5" s="124">
        <v>765190</v>
      </c>
      <c r="D5" s="124" t="s">
        <v>32</v>
      </c>
      <c r="E5" s="150">
        <v>0</v>
      </c>
      <c r="F5" s="150">
        <f t="shared" si="0"/>
        <v>198</v>
      </c>
      <c r="G5" s="150">
        <f t="shared" si="0"/>
        <v>247</v>
      </c>
      <c r="H5" s="151">
        <f t="shared" si="0"/>
        <v>51.899999999999977</v>
      </c>
      <c r="J5" s="113" t="s">
        <v>52</v>
      </c>
      <c r="K5" s="113" t="str">
        <f>VLOOKUP(J5,'MvT types'!B:C,2,0)</f>
        <v>goods production</v>
      </c>
    </row>
    <row r="6" spans="2:11" x14ac:dyDescent="0.3">
      <c r="B6" s="234"/>
      <c r="C6" s="124">
        <v>657341</v>
      </c>
      <c r="D6" s="124" t="s">
        <v>30</v>
      </c>
      <c r="E6" s="150">
        <v>0</v>
      </c>
      <c r="F6" s="150">
        <f t="shared" si="0"/>
        <v>89.5</v>
      </c>
      <c r="G6" s="150">
        <f t="shared" si="0"/>
        <v>266.8075</v>
      </c>
      <c r="H6" s="151">
        <f t="shared" si="0"/>
        <v>66</v>
      </c>
      <c r="J6" s="113" t="s">
        <v>140</v>
      </c>
      <c r="K6" s="113" t="str">
        <f>VLOOKUP(J6,'MvT types'!B:C,2,0)</f>
        <v>Write-off</v>
      </c>
    </row>
    <row r="7" spans="2:11" x14ac:dyDescent="0.3">
      <c r="B7" s="234"/>
      <c r="C7" s="124">
        <v>876145</v>
      </c>
      <c r="D7" s="124" t="s">
        <v>14</v>
      </c>
      <c r="E7" s="150">
        <v>0</v>
      </c>
      <c r="F7" s="150">
        <f t="shared" si="0"/>
        <v>0</v>
      </c>
      <c r="G7" s="150">
        <f t="shared" si="0"/>
        <v>5.4500000000000028</v>
      </c>
      <c r="H7" s="151">
        <f t="shared" si="0"/>
        <v>43.5</v>
      </c>
      <c r="J7" s="113" t="s">
        <v>55</v>
      </c>
      <c r="K7" s="113" t="str">
        <f>VLOOKUP(J7,'MvT types'!B:C,2,0)</f>
        <v>Inventory stock-take</v>
      </c>
    </row>
    <row r="8" spans="2:11" x14ac:dyDescent="0.3">
      <c r="B8" s="235"/>
      <c r="C8" s="125">
        <v>560196</v>
      </c>
      <c r="D8" s="125" t="s">
        <v>31</v>
      </c>
      <c r="E8" s="152">
        <v>0</v>
      </c>
      <c r="F8" s="152">
        <f t="shared" si="0"/>
        <v>230</v>
      </c>
      <c r="G8" s="152">
        <f t="shared" si="0"/>
        <v>390</v>
      </c>
      <c r="H8" s="153">
        <f t="shared" si="0"/>
        <v>9</v>
      </c>
      <c r="J8" s="113" t="s">
        <v>90</v>
      </c>
      <c r="K8" s="113" t="str">
        <f>VLOOKUP(J8,'MvT types'!B:C,2,0)</f>
        <v>dispatch</v>
      </c>
    </row>
    <row r="9" spans="2:11" x14ac:dyDescent="0.3">
      <c r="B9" s="233" t="s">
        <v>87</v>
      </c>
      <c r="C9" s="121">
        <v>120301</v>
      </c>
      <c r="D9" s="121" t="s">
        <v>42</v>
      </c>
      <c r="E9" s="148">
        <f>SUMIFS(Movements!$I:$I,Movements!$G:$G,$J$2,Movements!$B:$B,$C9,Movements!$A:$A,Stocks!E$1)+SUMIFS(Movements!$I:$I,Movements!$G:$G,$J$5,Movements!$B:$B,$C9,Movements!$A:$A,Stocks!E$1)</f>
        <v>0</v>
      </c>
      <c r="F9" s="148">
        <f>SUMIFS(Movements!$I:$I,Movements!$G:$G,$J$2,Movements!$B:$B,$C9,Movements!$A:$A,Stocks!F$1)+SUMIFS(Movements!$I:$I,Movements!$G:$G,$J$5,Movements!$B:$B,$C9,Movements!$A:$A,Stocks!F$1)</f>
        <v>510</v>
      </c>
      <c r="G9" s="148">
        <f>SUMIFS(Movements!$I:$I,Movements!$G:$G,$J$2,Movements!$B:$B,$C9,Movements!$A:$A,Stocks!G$1)+SUMIFS(Movements!$I:$I,Movements!$G:$G,$J$5,Movements!$B:$B,$C9,Movements!$A:$A,Stocks!G$1)</f>
        <v>800</v>
      </c>
      <c r="H9" s="149">
        <f>SUMIFS(Movements!$I:$I,Movements!$G:$G,$J$2,Movements!$B:$B,$C9,Movements!$A:$A,Stocks!H$1)+SUMIFS(Movements!$I:$I,Movements!$G:$G,$J$5,Movements!$B:$B,$C9,Movements!$A:$A,Stocks!H$1)</f>
        <v>700</v>
      </c>
    </row>
    <row r="10" spans="2:11" x14ac:dyDescent="0.3">
      <c r="B10" s="234"/>
      <c r="C10" s="124">
        <v>156212</v>
      </c>
      <c r="D10" s="124" t="s">
        <v>43</v>
      </c>
      <c r="E10" s="150">
        <f>SUMIFS(Movements!$I:$I,Movements!$G:$G,$J$2,Movements!$B:$B,$C10,Movements!$A:$A,Stocks!E$1)+SUMIFS(Movements!$I:$I,Movements!$G:$G,$J$5,Movements!$B:$B,$C10,Movements!$A:$A,Stocks!E$1)</f>
        <v>0</v>
      </c>
      <c r="F10" s="150">
        <f>SUMIFS(Movements!$I:$I,Movements!$G:$G,$J$2,Movements!$B:$B,$C10,Movements!$A:$A,Stocks!F$1)+SUMIFS(Movements!$I:$I,Movements!$G:$G,$J$5,Movements!$B:$B,$C10,Movements!$A:$A,Stocks!F$1)</f>
        <v>1000</v>
      </c>
      <c r="G10" s="150">
        <f>SUMIFS(Movements!$I:$I,Movements!$G:$G,$J$2,Movements!$B:$B,$C10,Movements!$A:$A,Stocks!G$1)+SUMIFS(Movements!$I:$I,Movements!$G:$G,$J$5,Movements!$B:$B,$C10,Movements!$A:$A,Stocks!G$1)</f>
        <v>1500</v>
      </c>
      <c r="H10" s="151">
        <f>SUMIFS(Movements!$I:$I,Movements!$G:$G,$J$2,Movements!$B:$B,$C10,Movements!$A:$A,Stocks!H$1)+SUMIFS(Movements!$I:$I,Movements!$G:$G,$J$5,Movements!$B:$B,$C10,Movements!$A:$A,Stocks!H$1)</f>
        <v>303</v>
      </c>
    </row>
    <row r="11" spans="2:11" x14ac:dyDescent="0.3">
      <c r="B11" s="234"/>
      <c r="C11" s="124">
        <v>867156</v>
      </c>
      <c r="D11" s="124" t="s">
        <v>12</v>
      </c>
      <c r="E11" s="150">
        <f>SUMIFS(Movements!$I:$I,Movements!$G:$G,$J$2,Movements!$B:$B,$C11,Movements!$A:$A,Stocks!E$1)+SUMIFS(Movements!$I:$I,Movements!$G:$G,$J$5,Movements!$B:$B,$C11,Movements!$A:$A,Stocks!E$1)</f>
        <v>2481</v>
      </c>
      <c r="F11" s="150">
        <f>SUMIFS(Movements!$I:$I,Movements!$G:$G,$J$2,Movements!$B:$B,$C11,Movements!$A:$A,Stocks!F$1)+SUMIFS(Movements!$I:$I,Movements!$G:$G,$J$5,Movements!$B:$B,$C11,Movements!$A:$A,Stocks!F$1)</f>
        <v>400</v>
      </c>
      <c r="G11" s="150">
        <f>SUMIFS(Movements!$I:$I,Movements!$G:$G,$J$2,Movements!$B:$B,$C11,Movements!$A:$A,Stocks!G$1)+SUMIFS(Movements!$I:$I,Movements!$G:$G,$J$5,Movements!$B:$B,$C11,Movements!$A:$A,Stocks!G$1)</f>
        <v>100</v>
      </c>
      <c r="H11" s="151">
        <f>SUMIFS(Movements!$I:$I,Movements!$G:$G,$J$2,Movements!$B:$B,$C11,Movements!$A:$A,Stocks!H$1)+SUMIFS(Movements!$I:$I,Movements!$G:$G,$J$5,Movements!$B:$B,$C11,Movements!$A:$A,Stocks!H$1)</f>
        <v>100</v>
      </c>
    </row>
    <row r="12" spans="2:11" x14ac:dyDescent="0.3">
      <c r="B12" s="234"/>
      <c r="C12" s="124">
        <v>765190</v>
      </c>
      <c r="D12" s="124" t="s">
        <v>32</v>
      </c>
      <c r="E12" s="150">
        <f>SUMIFS(Movements!$I:$I,Movements!$G:$G,$J$2,Movements!$B:$B,$C12,Movements!$A:$A,Stocks!E$1)+SUMIFS(Movements!$I:$I,Movements!$G:$G,$J$5,Movements!$B:$B,$C12,Movements!$A:$A,Stocks!E$1)</f>
        <v>198</v>
      </c>
      <c r="F12" s="150">
        <f>SUMIFS(Movements!$I:$I,Movements!$G:$G,$J$2,Movements!$B:$B,$C12,Movements!$A:$A,Stocks!F$1)+SUMIFS(Movements!$I:$I,Movements!$G:$G,$J$5,Movements!$B:$B,$C12,Movements!$A:$A,Stocks!F$1)</f>
        <v>200</v>
      </c>
      <c r="G12" s="150">
        <f>SUMIFS(Movements!$I:$I,Movements!$G:$G,$J$2,Movements!$B:$B,$C12,Movements!$A:$A,Stocks!G$1)+SUMIFS(Movements!$I:$I,Movements!$G:$G,$J$5,Movements!$B:$B,$C12,Movements!$A:$A,Stocks!G$1)</f>
        <v>50</v>
      </c>
      <c r="H12" s="151">
        <f>SUMIFS(Movements!$I:$I,Movements!$G:$G,$J$2,Movements!$B:$B,$C12,Movements!$A:$A,Stocks!H$1)+SUMIFS(Movements!$I:$I,Movements!$G:$G,$J$5,Movements!$B:$B,$C12,Movements!$A:$A,Stocks!H$1)</f>
        <v>50</v>
      </c>
    </row>
    <row r="13" spans="2:11" x14ac:dyDescent="0.3">
      <c r="B13" s="234"/>
      <c r="C13" s="124">
        <v>657341</v>
      </c>
      <c r="D13" s="124" t="s">
        <v>30</v>
      </c>
      <c r="E13" s="150">
        <f>SUMIFS(Movements!$I:$I,Movements!$G:$G,$J$2,Movements!$B:$B,$C13,Movements!$A:$A,Stocks!E$1)+SUMIFS(Movements!$I:$I,Movements!$G:$G,$J$5,Movements!$B:$B,$C13,Movements!$A:$A,Stocks!E$1)</f>
        <v>89.5</v>
      </c>
      <c r="F13" s="150">
        <f>SUMIFS(Movements!$I:$I,Movements!$G:$G,$J$2,Movements!$B:$B,$C13,Movements!$A:$A,Stocks!F$1)+SUMIFS(Movements!$I:$I,Movements!$G:$G,$J$5,Movements!$B:$B,$C13,Movements!$A:$A,Stocks!F$1)</f>
        <v>300</v>
      </c>
      <c r="G13" s="150">
        <f>SUMIFS(Movements!$I:$I,Movements!$G:$G,$J$2,Movements!$B:$B,$C13,Movements!$A:$A,Stocks!G$1)+SUMIFS(Movements!$I:$I,Movements!$G:$G,$J$5,Movements!$B:$B,$C13,Movements!$A:$A,Stocks!G$1)</f>
        <v>50</v>
      </c>
      <c r="H13" s="151">
        <f>SUMIFS(Movements!$I:$I,Movements!$G:$G,$J$2,Movements!$B:$B,$C13,Movements!$A:$A,Stocks!H$1)+SUMIFS(Movements!$I:$I,Movements!$G:$G,$J$5,Movements!$B:$B,$C13,Movements!$A:$A,Stocks!H$1)</f>
        <v>50</v>
      </c>
    </row>
    <row r="14" spans="2:11" x14ac:dyDescent="0.3">
      <c r="B14" s="234"/>
      <c r="C14" s="124">
        <v>876145</v>
      </c>
      <c r="D14" s="124" t="s">
        <v>14</v>
      </c>
      <c r="E14" s="150">
        <f>SUMIFS(Movements!$I:$I,Movements!$G:$G,$J$2,Movements!$B:$B,$C14,Movements!$A:$A,Stocks!E$1)+SUMIFS(Movements!$I:$I,Movements!$G:$G,$J$5,Movements!$B:$B,$C14,Movements!$A:$A,Stocks!E$1)</f>
        <v>0</v>
      </c>
      <c r="F14" s="150">
        <f>SUMIFS(Movements!$I:$I,Movements!$G:$G,$J$2,Movements!$B:$B,$C14,Movements!$A:$A,Stocks!F$1)+SUMIFS(Movements!$I:$I,Movements!$G:$G,$J$5,Movements!$B:$B,$C14,Movements!$A:$A,Stocks!F$1)</f>
        <v>110</v>
      </c>
      <c r="G14" s="150">
        <f>SUMIFS(Movements!$I:$I,Movements!$G:$G,$J$2,Movements!$B:$B,$C14,Movements!$A:$A,Stocks!G$1)+SUMIFS(Movements!$I:$I,Movements!$G:$G,$J$5,Movements!$B:$B,$C14,Movements!$A:$A,Stocks!G$1)</f>
        <v>205.05</v>
      </c>
      <c r="H14" s="151">
        <f>SUMIFS(Movements!$I:$I,Movements!$G:$G,$J$2,Movements!$B:$B,$C14,Movements!$A:$A,Stocks!H$1)+SUMIFS(Movements!$I:$I,Movements!$G:$G,$J$5,Movements!$B:$B,$C14,Movements!$A:$A,Stocks!H$1)</f>
        <v>100</v>
      </c>
    </row>
    <row r="15" spans="2:11" x14ac:dyDescent="0.3">
      <c r="B15" s="235"/>
      <c r="C15" s="125">
        <v>560196</v>
      </c>
      <c r="D15" s="125" t="s">
        <v>31</v>
      </c>
      <c r="E15" s="152">
        <f>SUMIFS(Movements!$I:$I,Movements!$G:$G,$J$2,Movements!$B:$B,$C15,Movements!$A:$A,Stocks!E$1)+SUMIFS(Movements!$I:$I,Movements!$G:$G,$J$5,Movements!$B:$B,$C15,Movements!$A:$A,Stocks!E$1)</f>
        <v>230</v>
      </c>
      <c r="F15" s="152">
        <f>SUMIFS(Movements!$I:$I,Movements!$G:$G,$J$2,Movements!$B:$B,$C15,Movements!$A:$A,Stocks!F$1)+SUMIFS(Movements!$I:$I,Movements!$G:$G,$J$5,Movements!$B:$B,$C15,Movements!$A:$A,Stocks!F$1)</f>
        <v>500</v>
      </c>
      <c r="G15" s="152">
        <f>SUMIFS(Movements!$I:$I,Movements!$G:$G,$J$2,Movements!$B:$B,$C15,Movements!$A:$A,Stocks!G$1)+SUMIFS(Movements!$I:$I,Movements!$G:$G,$J$5,Movements!$B:$B,$C15,Movements!$A:$A,Stocks!G$1)</f>
        <v>100</v>
      </c>
      <c r="H15" s="153">
        <f>SUMIFS(Movements!$I:$I,Movements!$G:$G,$J$2,Movements!$B:$B,$C15,Movements!$A:$A,Stocks!H$1)+SUMIFS(Movements!$I:$I,Movements!$G:$G,$J$5,Movements!$B:$B,$C15,Movements!$A:$A,Stocks!H$1)</f>
        <v>89</v>
      </c>
    </row>
    <row r="16" spans="2:11" x14ac:dyDescent="0.3">
      <c r="B16" s="233" t="s">
        <v>88</v>
      </c>
      <c r="C16" s="121">
        <v>120301</v>
      </c>
      <c r="D16" s="121" t="s">
        <v>42</v>
      </c>
      <c r="E16" s="148">
        <f>SUMIFS(Movements!$I:$I,Movements!$G:$G,$J$3,Movements!$B:$B,$C16,Movements!$A:$A,Stocks!E$1)+SUMIFS(Movements!$I:$I,Movements!$G:$G,$J$6,Movements!$B:$B,$C16,Movements!$A:$A,Stocks!E$1)+SUMIFS(Movements!$I:$I,Movements!$G:$G,$J$7,Movements!$B:$B,$C16,Movements!$A:$A,Stocks!E$1)+SUMIFS(Movements!$I:$I,Movements!$G:$G,$J$8,Movements!$B:$B,$C16,Movements!$A:$A,Stocks!E$1)</f>
        <v>0</v>
      </c>
      <c r="F16" s="148">
        <f>SUMIFS(Movements!$I:$I,Movements!$G:$G,$J$3,Movements!$B:$B,$C16,Movements!$A:$A,Stocks!F$1)+SUMIFS(Movements!$I:$I,Movements!$G:$G,$J$6,Movements!$B:$B,$C16,Movements!$A:$A,Stocks!F$1)+SUMIFS(Movements!$I:$I,Movements!$G:$G,$J$7,Movements!$B:$B,$C16,Movements!$A:$A,Stocks!F$1)+SUMIFS(Movements!$I:$I,Movements!$G:$G,$J$8,Movements!$B:$B,$C16,Movements!$A:$A,Stocks!F$1)</f>
        <v>-300</v>
      </c>
      <c r="G16" s="148">
        <f>SUMIFS(Movements!$I:$I,Movements!$G:$G,$J$3,Movements!$B:$B,$C16,Movements!$A:$A,Stocks!G$1)+SUMIFS(Movements!$I:$I,Movements!$G:$G,$J$6,Movements!$B:$B,$C16,Movements!$A:$A,Stocks!G$1)+SUMIFS(Movements!$I:$I,Movements!$G:$G,$J$7,Movements!$B:$B,$C16,Movements!$A:$A,Stocks!G$1)+SUMIFS(Movements!$I:$I,Movements!$G:$G,$J$8,Movements!$B:$B,$C16,Movements!$A:$A,Stocks!G$1)</f>
        <v>-910</v>
      </c>
      <c r="H16" s="149">
        <f>SUMIFS(Movements!$I:$I,Movements!$G:$G,$J$3,Movements!$B:$B,$C16,Movements!$A:$A,Stocks!H$1)+SUMIFS(Movements!$I:$I,Movements!$G:$G,$J$6,Movements!$B:$B,$C16,Movements!$A:$A,Stocks!H$1)+SUMIFS(Movements!$I:$I,Movements!$G:$G,$J$7,Movements!$B:$B,$C16,Movements!$A:$A,Stocks!H$1)+SUMIFS(Movements!$I:$I,Movements!$G:$G,$J$8,Movements!$B:$B,$C16,Movements!$A:$A,Stocks!H$1)</f>
        <v>-800</v>
      </c>
    </row>
    <row r="17" spans="2:12" x14ac:dyDescent="0.3">
      <c r="B17" s="234"/>
      <c r="C17" s="124">
        <v>156212</v>
      </c>
      <c r="D17" s="124" t="s">
        <v>43</v>
      </c>
      <c r="E17" s="150">
        <f>SUMIFS(Movements!$I:$I,Movements!$G:$G,$J$3,Movements!$B:$B,$C17,Movements!$A:$A,Stocks!E$1)+SUMIFS(Movements!$I:$I,Movements!$G:$G,$J$6,Movements!$B:$B,$C17,Movements!$A:$A,Stocks!E$1)+SUMIFS(Movements!$I:$I,Movements!$G:$G,$J$7,Movements!$B:$B,$C17,Movements!$A:$A,Stocks!E$1)+SUMIFS(Movements!$I:$I,Movements!$G:$G,$J$8,Movements!$B:$B,$C17,Movements!$A:$A,Stocks!E$1)</f>
        <v>0</v>
      </c>
      <c r="F17" s="150">
        <f>SUMIFS(Movements!$I:$I,Movements!$G:$G,$J$3,Movements!$B:$B,$C17,Movements!$A:$A,Stocks!F$1)+SUMIFS(Movements!$I:$I,Movements!$G:$G,$J$6,Movements!$B:$B,$C17,Movements!$A:$A,Stocks!F$1)+SUMIFS(Movements!$I:$I,Movements!$G:$G,$J$7,Movements!$B:$B,$C17,Movements!$A:$A,Stocks!F$1)+SUMIFS(Movements!$I:$I,Movements!$G:$G,$J$8,Movements!$B:$B,$C17,Movements!$A:$A,Stocks!F$1)</f>
        <v>-500</v>
      </c>
      <c r="G17" s="150">
        <f>SUMIFS(Movements!$I:$I,Movements!$G:$G,$J$3,Movements!$B:$B,$C17,Movements!$A:$A,Stocks!G$1)+SUMIFS(Movements!$I:$I,Movements!$G:$G,$J$6,Movements!$B:$B,$C17,Movements!$A:$A,Stocks!G$1)+SUMIFS(Movements!$I:$I,Movements!$G:$G,$J$7,Movements!$B:$B,$C17,Movements!$A:$A,Stocks!G$1)+SUMIFS(Movements!$I:$I,Movements!$G:$G,$J$8,Movements!$B:$B,$C17,Movements!$A:$A,Stocks!G$1)</f>
        <v>-1300</v>
      </c>
      <c r="H17" s="151">
        <f>SUMIFS(Movements!$I:$I,Movements!$G:$G,$J$3,Movements!$B:$B,$C17,Movements!$A:$A,Stocks!H$1)+SUMIFS(Movements!$I:$I,Movements!$G:$G,$J$6,Movements!$B:$B,$C17,Movements!$A:$A,Stocks!H$1)+SUMIFS(Movements!$I:$I,Movements!$G:$G,$J$7,Movements!$B:$B,$C17,Movements!$A:$A,Stocks!H$1)+SUMIFS(Movements!$I:$I,Movements!$G:$G,$J$8,Movements!$B:$B,$C17,Movements!$A:$A,Stocks!H$1)</f>
        <v>-1003</v>
      </c>
    </row>
    <row r="18" spans="2:12" x14ac:dyDescent="0.3">
      <c r="B18" s="234"/>
      <c r="C18" s="124">
        <v>867156</v>
      </c>
      <c r="D18" s="124" t="s">
        <v>12</v>
      </c>
      <c r="E18" s="150">
        <f>SUMIFS(Movements!$I:$I,Movements!$G:$G,$J$3,Movements!$B:$B,$C18,Movements!$A:$A,Stocks!E$1)+SUMIFS(Movements!$I:$I,Movements!$G:$G,$J$6,Movements!$B:$B,$C18,Movements!$A:$A,Stocks!E$1)+SUMIFS(Movements!$I:$I,Movements!$G:$G,$J$7,Movements!$B:$B,$C18,Movements!$A:$A,Stocks!E$1)+SUMIFS(Movements!$I:$I,Movements!$G:$G,$J$8,Movements!$B:$B,$C18,Movements!$A:$A,Stocks!E$1)</f>
        <v>0</v>
      </c>
      <c r="F18" s="150">
        <f>SUMIFS(Movements!$I:$I,Movements!$G:$G,$J$3,Movements!$B:$B,$C18,Movements!$A:$A,Stocks!F$1)+SUMIFS(Movements!$I:$I,Movements!$G:$G,$J$6,Movements!$B:$B,$C18,Movements!$A:$A,Stocks!F$1)+SUMIFS(Movements!$I:$I,Movements!$G:$G,$J$7,Movements!$B:$B,$C18,Movements!$A:$A,Stocks!F$1)+SUMIFS(Movements!$I:$I,Movements!$G:$G,$J$8,Movements!$B:$B,$C18,Movements!$A:$A,Stocks!F$1)</f>
        <v>-948</v>
      </c>
      <c r="G18" s="150">
        <f>SUMIFS(Movements!$I:$I,Movements!$G:$G,$J$3,Movements!$B:$B,$C18,Movements!$A:$A,Stocks!G$1)+SUMIFS(Movements!$I:$I,Movements!$G:$G,$J$6,Movements!$B:$B,$C18,Movements!$A:$A,Stocks!G$1)+SUMIFS(Movements!$I:$I,Movements!$G:$G,$J$7,Movements!$B:$B,$C18,Movements!$A:$A,Stocks!G$1)+SUMIFS(Movements!$I:$I,Movements!$G:$G,$J$8,Movements!$B:$B,$C18,Movements!$A:$A,Stocks!G$1)</f>
        <v>-1454.4</v>
      </c>
      <c r="H18" s="151">
        <f>SUMIFS(Movements!$I:$I,Movements!$G:$G,$J$3,Movements!$B:$B,$C18,Movements!$A:$A,Stocks!H$1)+SUMIFS(Movements!$I:$I,Movements!$G:$G,$J$6,Movements!$B:$B,$C18,Movements!$A:$A,Stocks!H$1)+SUMIFS(Movements!$I:$I,Movements!$G:$G,$J$7,Movements!$B:$B,$C18,Movements!$A:$A,Stocks!H$1)+SUMIFS(Movements!$I:$I,Movements!$G:$G,$J$8,Movements!$B:$B,$C18,Movements!$A:$A,Stocks!H$1)</f>
        <v>-678.59999999999991</v>
      </c>
    </row>
    <row r="19" spans="2:12" x14ac:dyDescent="0.3">
      <c r="B19" s="234"/>
      <c r="C19" s="124">
        <v>765190</v>
      </c>
      <c r="D19" s="124" t="s">
        <v>32</v>
      </c>
      <c r="E19" s="150">
        <f>SUMIFS(Movements!$I:$I,Movements!$G:$G,$J$3,Movements!$B:$B,$C19,Movements!$A:$A,Stocks!E$1)+SUMIFS(Movements!$I:$I,Movements!$G:$G,$J$6,Movements!$B:$B,$C19,Movements!$A:$A,Stocks!E$1)+SUMIFS(Movements!$I:$I,Movements!$G:$G,$J$7,Movements!$B:$B,$C19,Movements!$A:$A,Stocks!E$1)+SUMIFS(Movements!$I:$I,Movements!$G:$G,$J$8,Movements!$B:$B,$C19,Movements!$A:$A,Stocks!E$1)</f>
        <v>0</v>
      </c>
      <c r="F19" s="150">
        <f>SUMIFS(Movements!$I:$I,Movements!$G:$G,$J$3,Movements!$B:$B,$C19,Movements!$A:$A,Stocks!F$1)+SUMIFS(Movements!$I:$I,Movements!$G:$G,$J$6,Movements!$B:$B,$C19,Movements!$A:$A,Stocks!F$1)+SUMIFS(Movements!$I:$I,Movements!$G:$G,$J$7,Movements!$B:$B,$C19,Movements!$A:$A,Stocks!F$1)+SUMIFS(Movements!$I:$I,Movements!$G:$G,$J$8,Movements!$B:$B,$C19,Movements!$A:$A,Stocks!F$1)</f>
        <v>-151</v>
      </c>
      <c r="G19" s="150">
        <f>SUMIFS(Movements!$I:$I,Movements!$G:$G,$J$3,Movements!$B:$B,$C19,Movements!$A:$A,Stocks!G$1)+SUMIFS(Movements!$I:$I,Movements!$G:$G,$J$6,Movements!$B:$B,$C19,Movements!$A:$A,Stocks!G$1)+SUMIFS(Movements!$I:$I,Movements!$G:$G,$J$7,Movements!$B:$B,$C19,Movements!$A:$A,Stocks!G$1)+SUMIFS(Movements!$I:$I,Movements!$G:$G,$J$8,Movements!$B:$B,$C19,Movements!$A:$A,Stocks!G$1)</f>
        <v>-245.10000000000002</v>
      </c>
      <c r="H19" s="151">
        <f>SUMIFS(Movements!$I:$I,Movements!$G:$G,$J$3,Movements!$B:$B,$C19,Movements!$A:$A,Stocks!H$1)+SUMIFS(Movements!$I:$I,Movements!$G:$G,$J$6,Movements!$B:$B,$C19,Movements!$A:$A,Stocks!H$1)+SUMIFS(Movements!$I:$I,Movements!$G:$G,$J$7,Movements!$B:$B,$C19,Movements!$A:$A,Stocks!H$1)+SUMIFS(Movements!$I:$I,Movements!$G:$G,$J$8,Movements!$B:$B,$C19,Movements!$A:$A,Stocks!H$1)</f>
        <v>-101.89999999999999</v>
      </c>
    </row>
    <row r="20" spans="2:12" x14ac:dyDescent="0.3">
      <c r="B20" s="234"/>
      <c r="C20" s="124">
        <v>657341</v>
      </c>
      <c r="D20" s="124" t="s">
        <v>30</v>
      </c>
      <c r="E20" s="150">
        <f>SUMIFS(Movements!$I:$I,Movements!$G:$G,$J$3,Movements!$B:$B,$C20,Movements!$A:$A,Stocks!E$1)+SUMIFS(Movements!$I:$I,Movements!$G:$G,$J$6,Movements!$B:$B,$C20,Movements!$A:$A,Stocks!E$1)+SUMIFS(Movements!$I:$I,Movements!$G:$G,$J$7,Movements!$B:$B,$C20,Movements!$A:$A,Stocks!E$1)+SUMIFS(Movements!$I:$I,Movements!$G:$G,$J$8,Movements!$B:$B,$C20,Movements!$A:$A,Stocks!E$1)</f>
        <v>0</v>
      </c>
      <c r="F20" s="150">
        <f>SUMIFS(Movements!$I:$I,Movements!$G:$G,$J$3,Movements!$B:$B,$C20,Movements!$A:$A,Stocks!F$1)+SUMIFS(Movements!$I:$I,Movements!$G:$G,$J$6,Movements!$B:$B,$C20,Movements!$A:$A,Stocks!F$1)+SUMIFS(Movements!$I:$I,Movements!$G:$G,$J$7,Movements!$B:$B,$C20,Movements!$A:$A,Stocks!F$1)+SUMIFS(Movements!$I:$I,Movements!$G:$G,$J$8,Movements!$B:$B,$C20,Movements!$A:$A,Stocks!F$1)</f>
        <v>-122.6925</v>
      </c>
      <c r="G20" s="150">
        <f>SUMIFS(Movements!$I:$I,Movements!$G:$G,$J$3,Movements!$B:$B,$C20,Movements!$A:$A,Stocks!G$1)+SUMIFS(Movements!$I:$I,Movements!$G:$G,$J$6,Movements!$B:$B,$C20,Movements!$A:$A,Stocks!G$1)+SUMIFS(Movements!$I:$I,Movements!$G:$G,$J$7,Movements!$B:$B,$C20,Movements!$A:$A,Stocks!G$1)+SUMIFS(Movements!$I:$I,Movements!$G:$G,$J$8,Movements!$B:$B,$C20,Movements!$A:$A,Stocks!G$1)</f>
        <v>-250.8075</v>
      </c>
      <c r="H20" s="151">
        <f>SUMIFS(Movements!$I:$I,Movements!$G:$G,$J$3,Movements!$B:$B,$C20,Movements!$A:$A,Stocks!H$1)+SUMIFS(Movements!$I:$I,Movements!$G:$G,$J$6,Movements!$B:$B,$C20,Movements!$A:$A,Stocks!H$1)+SUMIFS(Movements!$I:$I,Movements!$G:$G,$J$7,Movements!$B:$B,$C20,Movements!$A:$A,Stocks!H$1)+SUMIFS(Movements!$I:$I,Movements!$G:$G,$J$8,Movements!$B:$B,$C20,Movements!$A:$A,Stocks!H$1)</f>
        <v>-116</v>
      </c>
    </row>
    <row r="21" spans="2:12" x14ac:dyDescent="0.3">
      <c r="B21" s="234"/>
      <c r="C21" s="124">
        <v>876145</v>
      </c>
      <c r="D21" s="124" t="s">
        <v>14</v>
      </c>
      <c r="E21" s="150">
        <f>SUMIFS(Movements!$I:$I,Movements!$G:$G,$J$3,Movements!$B:$B,$C21,Movements!$A:$A,Stocks!E$1)+SUMIFS(Movements!$I:$I,Movements!$G:$G,$J$6,Movements!$B:$B,$C21,Movements!$A:$A,Stocks!E$1)+SUMIFS(Movements!$I:$I,Movements!$G:$G,$J$7,Movements!$B:$B,$C21,Movements!$A:$A,Stocks!E$1)+SUMIFS(Movements!$I:$I,Movements!$G:$G,$J$8,Movements!$B:$B,$C21,Movements!$A:$A,Stocks!E$1)</f>
        <v>0</v>
      </c>
      <c r="F21" s="150">
        <f>SUMIFS(Movements!$I:$I,Movements!$G:$G,$J$3,Movements!$B:$B,$C21,Movements!$A:$A,Stocks!F$1)+SUMIFS(Movements!$I:$I,Movements!$G:$G,$J$6,Movements!$B:$B,$C21,Movements!$A:$A,Stocks!F$1)+SUMIFS(Movements!$I:$I,Movements!$G:$G,$J$7,Movements!$B:$B,$C21,Movements!$A:$A,Stocks!F$1)+SUMIFS(Movements!$I:$I,Movements!$G:$G,$J$8,Movements!$B:$B,$C21,Movements!$A:$A,Stocks!F$1)</f>
        <v>-104.55</v>
      </c>
      <c r="G21" s="150">
        <f>SUMIFS(Movements!$I:$I,Movements!$G:$G,$J$3,Movements!$B:$B,$C21,Movements!$A:$A,Stocks!G$1)+SUMIFS(Movements!$I:$I,Movements!$G:$G,$J$6,Movements!$B:$B,$C21,Movements!$A:$A,Stocks!G$1)+SUMIFS(Movements!$I:$I,Movements!$G:$G,$J$7,Movements!$B:$B,$C21,Movements!$A:$A,Stocks!G$1)+SUMIFS(Movements!$I:$I,Movements!$G:$G,$J$8,Movements!$B:$B,$C21,Movements!$A:$A,Stocks!G$1)</f>
        <v>-167</v>
      </c>
      <c r="H21" s="151">
        <f>SUMIFS(Movements!$I:$I,Movements!$G:$G,$J$3,Movements!$B:$B,$C21,Movements!$A:$A,Stocks!H$1)+SUMIFS(Movements!$I:$I,Movements!$G:$G,$J$6,Movements!$B:$B,$C21,Movements!$A:$A,Stocks!H$1)+SUMIFS(Movements!$I:$I,Movements!$G:$G,$J$7,Movements!$B:$B,$C21,Movements!$A:$A,Stocks!H$1)+SUMIFS(Movements!$I:$I,Movements!$G:$G,$J$8,Movements!$B:$B,$C21,Movements!$A:$A,Stocks!H$1)</f>
        <v>-143.5</v>
      </c>
    </row>
    <row r="22" spans="2:12" x14ac:dyDescent="0.3">
      <c r="B22" s="235"/>
      <c r="C22" s="125">
        <v>560196</v>
      </c>
      <c r="D22" s="125" t="s">
        <v>31</v>
      </c>
      <c r="E22" s="152">
        <f>SUMIFS(Movements!$I:$I,Movements!$G:$G,$J$3,Movements!$B:$B,$C22,Movements!$A:$A,Stocks!E$1)+SUMIFS(Movements!$I:$I,Movements!$G:$G,$J$6,Movements!$B:$B,$C22,Movements!$A:$A,Stocks!E$1)+SUMIFS(Movements!$I:$I,Movements!$G:$G,$J$7,Movements!$B:$B,$C22,Movements!$A:$A,Stocks!E$1)+SUMIFS(Movements!$I:$I,Movements!$G:$G,$J$8,Movements!$B:$B,$C22,Movements!$A:$A,Stocks!E$1)</f>
        <v>0</v>
      </c>
      <c r="F22" s="152">
        <f>SUMIFS(Movements!$I:$I,Movements!$G:$G,$J$3,Movements!$B:$B,$C22,Movements!$A:$A,Stocks!F$1)+SUMIFS(Movements!$I:$I,Movements!$G:$G,$J$6,Movements!$B:$B,$C22,Movements!$A:$A,Stocks!F$1)+SUMIFS(Movements!$I:$I,Movements!$G:$G,$J$7,Movements!$B:$B,$C22,Movements!$A:$A,Stocks!F$1)+SUMIFS(Movements!$I:$I,Movements!$G:$G,$J$8,Movements!$B:$B,$C22,Movements!$A:$A,Stocks!F$1)</f>
        <v>-340</v>
      </c>
      <c r="G22" s="152">
        <f>SUMIFS(Movements!$I:$I,Movements!$G:$G,$J$3,Movements!$B:$B,$C22,Movements!$A:$A,Stocks!G$1)+SUMIFS(Movements!$I:$I,Movements!$G:$G,$J$6,Movements!$B:$B,$C22,Movements!$A:$A,Stocks!G$1)+SUMIFS(Movements!$I:$I,Movements!$G:$G,$J$7,Movements!$B:$B,$C22,Movements!$A:$A,Stocks!G$1)+SUMIFS(Movements!$I:$I,Movements!$G:$G,$J$8,Movements!$B:$B,$C22,Movements!$A:$A,Stocks!G$1)</f>
        <v>-481</v>
      </c>
      <c r="H22" s="153">
        <f>SUMIFS(Movements!$I:$I,Movements!$G:$G,$J$3,Movements!$B:$B,$C22,Movements!$A:$A,Stocks!H$1)+SUMIFS(Movements!$I:$I,Movements!$G:$G,$J$6,Movements!$B:$B,$C22,Movements!$A:$A,Stocks!H$1)+SUMIFS(Movements!$I:$I,Movements!$G:$G,$J$7,Movements!$B:$B,$C22,Movements!$A:$A,Stocks!H$1)+SUMIFS(Movements!$I:$I,Movements!$G:$G,$J$8,Movements!$B:$B,$C22,Movements!$A:$A,Stocks!H$1)</f>
        <v>-98</v>
      </c>
    </row>
    <row r="23" spans="2:12" x14ac:dyDescent="0.3">
      <c r="B23" s="233" t="s">
        <v>89</v>
      </c>
      <c r="C23" s="121">
        <v>120301</v>
      </c>
      <c r="D23" s="121" t="s">
        <v>42</v>
      </c>
      <c r="E23" s="148">
        <f>E2+E9+E16</f>
        <v>0</v>
      </c>
      <c r="F23" s="148">
        <f>F2+F9+F16</f>
        <v>210</v>
      </c>
      <c r="G23" s="148">
        <f>G2+G9+G16</f>
        <v>100</v>
      </c>
      <c r="H23" s="154">
        <f>H2+H9+H16</f>
        <v>0</v>
      </c>
    </row>
    <row r="24" spans="2:12" x14ac:dyDescent="0.3">
      <c r="B24" s="234"/>
      <c r="C24" s="124">
        <v>156212</v>
      </c>
      <c r="D24" s="124" t="s">
        <v>43</v>
      </c>
      <c r="E24" s="150">
        <f t="shared" ref="E24:H29" si="1">E3+E10+E17</f>
        <v>0</v>
      </c>
      <c r="F24" s="150">
        <f t="shared" si="1"/>
        <v>500</v>
      </c>
      <c r="G24" s="150">
        <f t="shared" si="1"/>
        <v>700</v>
      </c>
      <c r="H24" s="155">
        <f t="shared" si="1"/>
        <v>0</v>
      </c>
    </row>
    <row r="25" spans="2:12" x14ac:dyDescent="0.3">
      <c r="B25" s="234"/>
      <c r="C25" s="124">
        <v>867156</v>
      </c>
      <c r="D25" s="124" t="s">
        <v>12</v>
      </c>
      <c r="E25" s="150">
        <f t="shared" si="1"/>
        <v>2481</v>
      </c>
      <c r="F25" s="150">
        <f t="shared" si="1"/>
        <v>1933</v>
      </c>
      <c r="G25" s="150">
        <f t="shared" si="1"/>
        <v>578.59999999999991</v>
      </c>
      <c r="H25" s="155">
        <f t="shared" si="1"/>
        <v>0</v>
      </c>
      <c r="L25" s="156"/>
    </row>
    <row r="26" spans="2:12" x14ac:dyDescent="0.3">
      <c r="B26" s="234"/>
      <c r="C26" s="124">
        <v>765190</v>
      </c>
      <c r="D26" s="124" t="s">
        <v>32</v>
      </c>
      <c r="E26" s="150">
        <f t="shared" si="1"/>
        <v>198</v>
      </c>
      <c r="F26" s="150">
        <f t="shared" si="1"/>
        <v>247</v>
      </c>
      <c r="G26" s="150">
        <f t="shared" si="1"/>
        <v>51.899999999999977</v>
      </c>
      <c r="H26" s="155">
        <f t="shared" si="1"/>
        <v>0</v>
      </c>
      <c r="L26" s="156"/>
    </row>
    <row r="27" spans="2:12" x14ac:dyDescent="0.3">
      <c r="B27" s="234"/>
      <c r="C27" s="124">
        <v>657341</v>
      </c>
      <c r="D27" s="124" t="s">
        <v>30</v>
      </c>
      <c r="E27" s="150">
        <f t="shared" si="1"/>
        <v>89.5</v>
      </c>
      <c r="F27" s="150">
        <f t="shared" si="1"/>
        <v>266.8075</v>
      </c>
      <c r="G27" s="150">
        <f t="shared" si="1"/>
        <v>66</v>
      </c>
      <c r="H27" s="155">
        <f t="shared" si="1"/>
        <v>0</v>
      </c>
      <c r="L27" s="156"/>
    </row>
    <row r="28" spans="2:12" x14ac:dyDescent="0.3">
      <c r="B28" s="234"/>
      <c r="C28" s="124">
        <v>876145</v>
      </c>
      <c r="D28" s="124" t="s">
        <v>14</v>
      </c>
      <c r="E28" s="150">
        <f t="shared" si="1"/>
        <v>0</v>
      </c>
      <c r="F28" s="150">
        <f t="shared" si="1"/>
        <v>5.4500000000000028</v>
      </c>
      <c r="G28" s="150">
        <f t="shared" si="1"/>
        <v>43.5</v>
      </c>
      <c r="H28" s="155">
        <f t="shared" si="1"/>
        <v>0</v>
      </c>
    </row>
    <row r="29" spans="2:12" x14ac:dyDescent="0.3">
      <c r="B29" s="235"/>
      <c r="C29" s="125">
        <v>560196</v>
      </c>
      <c r="D29" s="125" t="s">
        <v>31</v>
      </c>
      <c r="E29" s="152">
        <f t="shared" si="1"/>
        <v>230</v>
      </c>
      <c r="F29" s="152">
        <f t="shared" si="1"/>
        <v>390</v>
      </c>
      <c r="G29" s="152">
        <f t="shared" si="1"/>
        <v>9</v>
      </c>
      <c r="H29" s="157">
        <f t="shared" si="1"/>
        <v>0</v>
      </c>
      <c r="L29" s="156"/>
    </row>
  </sheetData>
  <mergeCells count="4">
    <mergeCell ref="B2:B8"/>
    <mergeCell ref="B9:B15"/>
    <mergeCell ref="B16:B22"/>
    <mergeCell ref="B23:B2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51424-2E3A-40E3-97A7-E46B3C5556D1}">
  <sheetPr>
    <tabColor theme="0"/>
  </sheetPr>
  <dimension ref="A1:K13"/>
  <sheetViews>
    <sheetView zoomScale="175" zoomScaleNormal="175" workbookViewId="0">
      <selection activeCell="G12" sqref="G12"/>
    </sheetView>
  </sheetViews>
  <sheetFormatPr defaultColWidth="9.109375" defaultRowHeight="14.4" x14ac:dyDescent="0.3"/>
  <cols>
    <col min="1" max="1" width="15.44140625" style="113" bestFit="1" customWidth="1"/>
    <col min="2" max="2" width="11.5546875" style="113" bestFit="1" customWidth="1"/>
    <col min="3" max="3" width="9.88671875" style="113" bestFit="1" customWidth="1"/>
    <col min="4" max="4" width="9.5546875" style="113" bestFit="1" customWidth="1"/>
    <col min="5" max="5" width="7.5546875" style="113" bestFit="1" customWidth="1"/>
    <col min="6" max="6" width="3" style="113" customWidth="1"/>
    <col min="7" max="7" width="12.109375" style="113" customWidth="1"/>
    <col min="8" max="8" width="9.6640625" style="113" bestFit="1" customWidth="1"/>
    <col min="9" max="9" width="10.44140625" style="113" bestFit="1" customWidth="1"/>
    <col min="10" max="10" width="10.109375" style="113" bestFit="1" customWidth="1"/>
    <col min="11" max="11" width="7.6640625" style="113" bestFit="1" customWidth="1"/>
    <col min="12" max="16384" width="9.109375" style="113"/>
  </cols>
  <sheetData>
    <row r="1" spans="1:11" x14ac:dyDescent="0.3">
      <c r="A1" s="191" t="s">
        <v>74</v>
      </c>
      <c r="B1" s="192" t="s">
        <v>91</v>
      </c>
      <c r="C1" s="121"/>
      <c r="D1" s="121"/>
      <c r="E1" s="193"/>
    </row>
    <row r="2" spans="1:11" x14ac:dyDescent="0.3">
      <c r="A2" s="116"/>
      <c r="B2" s="124"/>
      <c r="C2" s="124"/>
      <c r="D2" s="124"/>
      <c r="E2" s="117"/>
    </row>
    <row r="3" spans="1:11" x14ac:dyDescent="0.3">
      <c r="A3" s="191" t="s">
        <v>93</v>
      </c>
      <c r="B3" s="192"/>
      <c r="C3" s="194" t="s">
        <v>57</v>
      </c>
      <c r="D3" s="191"/>
      <c r="E3" s="192"/>
      <c r="G3" s="195" t="s">
        <v>105</v>
      </c>
      <c r="H3" s="196"/>
      <c r="I3" s="196"/>
      <c r="J3" s="196"/>
      <c r="K3" s="197"/>
    </row>
    <row r="4" spans="1:11" x14ac:dyDescent="0.3">
      <c r="A4" s="194" t="s">
        <v>34</v>
      </c>
      <c r="B4" s="194" t="s">
        <v>60</v>
      </c>
      <c r="C4" s="198" t="s">
        <v>81</v>
      </c>
      <c r="D4" s="199" t="s">
        <v>82</v>
      </c>
      <c r="E4" s="200" t="s">
        <v>83</v>
      </c>
      <c r="G4" s="201" t="s">
        <v>34</v>
      </c>
      <c r="H4" s="202" t="s">
        <v>60</v>
      </c>
      <c r="I4" s="203" t="s">
        <v>81</v>
      </c>
      <c r="J4" s="203" t="s">
        <v>82</v>
      </c>
      <c r="K4" s="204" t="s">
        <v>83</v>
      </c>
    </row>
    <row r="5" spans="1:11" x14ac:dyDescent="0.3">
      <c r="A5" s="205">
        <v>120301</v>
      </c>
      <c r="B5" s="194" t="s">
        <v>42</v>
      </c>
      <c r="C5" s="206">
        <v>-300</v>
      </c>
      <c r="D5" s="148">
        <v>-900</v>
      </c>
      <c r="E5" s="149">
        <v>-800</v>
      </c>
      <c r="G5" s="207">
        <v>120301</v>
      </c>
      <c r="H5" s="124" t="s">
        <v>42</v>
      </c>
      <c r="I5" s="150">
        <v>59</v>
      </c>
      <c r="J5" s="150">
        <v>63</v>
      </c>
      <c r="K5" s="151">
        <v>65</v>
      </c>
    </row>
    <row r="6" spans="1:11" x14ac:dyDescent="0.3">
      <c r="A6" s="208">
        <v>156212</v>
      </c>
      <c r="B6" s="194" t="s">
        <v>43</v>
      </c>
      <c r="C6" s="209">
        <v>-500</v>
      </c>
      <c r="D6" s="150">
        <v>-1300</v>
      </c>
      <c r="E6" s="151">
        <v>-1000</v>
      </c>
      <c r="G6" s="210">
        <v>156212</v>
      </c>
      <c r="H6" s="125" t="s">
        <v>43</v>
      </c>
      <c r="I6" s="152">
        <v>35</v>
      </c>
      <c r="J6" s="152">
        <v>25</v>
      </c>
      <c r="K6" s="153">
        <v>25</v>
      </c>
    </row>
    <row r="7" spans="1:11" x14ac:dyDescent="0.3">
      <c r="A7" s="191" t="s">
        <v>92</v>
      </c>
      <c r="B7" s="192"/>
      <c r="C7" s="211">
        <v>-800</v>
      </c>
      <c r="D7" s="152">
        <v>-2200</v>
      </c>
      <c r="E7" s="153">
        <v>-1800</v>
      </c>
    </row>
    <row r="9" spans="1:11" x14ac:dyDescent="0.3">
      <c r="A9" s="120" t="s">
        <v>106</v>
      </c>
      <c r="B9" s="121"/>
      <c r="C9" s="121"/>
      <c r="D9" s="121"/>
      <c r="E9" s="193"/>
    </row>
    <row r="10" spans="1:11" x14ac:dyDescent="0.3">
      <c r="A10" s="201" t="s">
        <v>34</v>
      </c>
      <c r="B10" s="202" t="s">
        <v>60</v>
      </c>
      <c r="C10" s="203" t="s">
        <v>81</v>
      </c>
      <c r="D10" s="203" t="s">
        <v>82</v>
      </c>
      <c r="E10" s="204" t="s">
        <v>83</v>
      </c>
    </row>
    <row r="11" spans="1:11" x14ac:dyDescent="0.3">
      <c r="A11" s="207">
        <v>120301</v>
      </c>
      <c r="B11" s="124" t="s">
        <v>42</v>
      </c>
      <c r="C11" s="150">
        <f t="shared" ref="C11:E12" si="0">-C5*I5</f>
        <v>17700</v>
      </c>
      <c r="D11" s="150">
        <f t="shared" si="0"/>
        <v>56700</v>
      </c>
      <c r="E11" s="151">
        <f t="shared" si="0"/>
        <v>52000</v>
      </c>
    </row>
    <row r="12" spans="1:11" x14ac:dyDescent="0.3">
      <c r="A12" s="207">
        <v>156212</v>
      </c>
      <c r="B12" s="124" t="s">
        <v>43</v>
      </c>
      <c r="C12" s="150">
        <f t="shared" si="0"/>
        <v>17500</v>
      </c>
      <c r="D12" s="150">
        <f t="shared" si="0"/>
        <v>32500</v>
      </c>
      <c r="E12" s="151">
        <f t="shared" si="0"/>
        <v>25000</v>
      </c>
    </row>
    <row r="13" spans="1:11" x14ac:dyDescent="0.3">
      <c r="A13" s="118" t="s">
        <v>107</v>
      </c>
      <c r="B13" s="125"/>
      <c r="C13" s="212">
        <f>SUM(C11:C12)</f>
        <v>35200</v>
      </c>
      <c r="D13" s="212">
        <f>SUM(D11:D12)</f>
        <v>89200</v>
      </c>
      <c r="E13" s="179">
        <f>SUM(E11:E12)</f>
        <v>77000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16E06-8BB7-4E6E-8002-03C90467F773}">
  <sheetPr>
    <tabColor theme="0"/>
  </sheetPr>
  <dimension ref="A1:N106"/>
  <sheetViews>
    <sheetView topLeftCell="A10" zoomScale="145" zoomScaleNormal="145" workbookViewId="0">
      <selection activeCell="K21" sqref="K21"/>
    </sheetView>
  </sheetViews>
  <sheetFormatPr defaultRowHeight="14.4" x14ac:dyDescent="0.3"/>
  <cols>
    <col min="1" max="1" width="15.5546875" style="113" customWidth="1"/>
    <col min="2" max="2" width="14" style="113" bestFit="1" customWidth="1"/>
    <col min="3" max="3" width="9" style="113" bestFit="1" customWidth="1"/>
    <col min="4" max="4" width="9.88671875" style="113" bestFit="1" customWidth="1"/>
    <col min="5" max="5" width="9.5546875" style="113" bestFit="1" customWidth="1"/>
    <col min="6" max="6" width="7.5546875" style="113" bestFit="1" customWidth="1"/>
    <col min="7" max="7" width="3.6640625" style="113" customWidth="1"/>
    <col min="8" max="9" width="5" style="113" bestFit="1" customWidth="1"/>
    <col min="10" max="10" width="3.44140625" style="113" customWidth="1"/>
    <col min="11" max="11" width="10.33203125" style="113" customWidth="1"/>
    <col min="12" max="12" width="10" style="113" customWidth="1"/>
    <col min="13" max="13" width="10.44140625" style="113" bestFit="1" customWidth="1"/>
    <col min="14" max="14" width="10.5546875" style="113" customWidth="1"/>
    <col min="15" max="17" width="9.109375" style="113"/>
    <col min="18" max="18" width="10.109375" style="113" bestFit="1" customWidth="1"/>
    <col min="19" max="42" width="9.109375" style="113"/>
    <col min="43" max="16384" width="8.88671875" style="113"/>
  </cols>
  <sheetData>
    <row r="1" spans="1:14" x14ac:dyDescent="0.3">
      <c r="A1" s="191" t="s">
        <v>74</v>
      </c>
      <c r="B1" s="192" t="s">
        <v>49</v>
      </c>
      <c r="C1" s="121"/>
      <c r="D1" s="121"/>
      <c r="E1" s="121"/>
      <c r="F1" s="193"/>
    </row>
    <row r="2" spans="1:14" x14ac:dyDescent="0.3">
      <c r="A2" s="116"/>
      <c r="B2" s="124"/>
      <c r="C2" s="124"/>
      <c r="D2" s="124"/>
      <c r="E2" s="124"/>
      <c r="F2" s="117"/>
    </row>
    <row r="3" spans="1:14" x14ac:dyDescent="0.3">
      <c r="A3" s="191" t="s">
        <v>93</v>
      </c>
      <c r="B3" s="192"/>
      <c r="C3" s="194" t="s">
        <v>57</v>
      </c>
      <c r="D3" s="191"/>
      <c r="E3" s="213"/>
      <c r="F3" s="192"/>
      <c r="H3" s="236" t="s">
        <v>78</v>
      </c>
      <c r="I3" s="223"/>
      <c r="K3" s="120" t="s">
        <v>94</v>
      </c>
      <c r="L3" s="121"/>
      <c r="M3" s="121"/>
      <c r="N3" s="193"/>
    </row>
    <row r="4" spans="1:14" x14ac:dyDescent="0.3">
      <c r="A4" s="194" t="s">
        <v>34</v>
      </c>
      <c r="B4" s="194" t="s">
        <v>60</v>
      </c>
      <c r="C4" s="191" t="s">
        <v>77</v>
      </c>
      <c r="D4" s="213" t="s">
        <v>81</v>
      </c>
      <c r="E4" s="213" t="s">
        <v>82</v>
      </c>
      <c r="F4" s="192" t="s">
        <v>83</v>
      </c>
      <c r="H4" s="122">
        <v>2022</v>
      </c>
      <c r="I4" s="214">
        <v>2023</v>
      </c>
      <c r="K4" s="215" t="s">
        <v>77</v>
      </c>
      <c r="L4" s="216" t="s">
        <v>81</v>
      </c>
      <c r="M4" s="216" t="s">
        <v>82</v>
      </c>
      <c r="N4" s="217" t="s">
        <v>83</v>
      </c>
    </row>
    <row r="5" spans="1:14" x14ac:dyDescent="0.3">
      <c r="A5" s="205">
        <v>560196</v>
      </c>
      <c r="B5" s="194" t="s">
        <v>31</v>
      </c>
      <c r="C5" s="206">
        <v>230</v>
      </c>
      <c r="D5" s="148">
        <v>500</v>
      </c>
      <c r="E5" s="148">
        <v>100</v>
      </c>
      <c r="F5" s="149">
        <v>89</v>
      </c>
      <c r="H5" s="116">
        <f>VLOOKUP(A5,'list of materials'!A:E,5,0)</f>
        <v>25</v>
      </c>
      <c r="I5" s="117">
        <f>VLOOKUP(A5,'list of materials'!A:F,6,0)</f>
        <v>27</v>
      </c>
      <c r="K5" s="116">
        <v>27</v>
      </c>
      <c r="L5" s="124">
        <v>26</v>
      </c>
      <c r="M5" s="124">
        <v>28</v>
      </c>
      <c r="N5" s="117">
        <v>30</v>
      </c>
    </row>
    <row r="6" spans="1:14" x14ac:dyDescent="0.3">
      <c r="A6" s="218">
        <v>657341</v>
      </c>
      <c r="B6" s="194" t="s">
        <v>30</v>
      </c>
      <c r="C6" s="209">
        <v>89.5</v>
      </c>
      <c r="D6" s="150">
        <v>300</v>
      </c>
      <c r="E6" s="150">
        <v>50</v>
      </c>
      <c r="F6" s="151">
        <v>50</v>
      </c>
      <c r="H6" s="116">
        <f>VLOOKUP(A6,'list of materials'!A:E,5,0)</f>
        <v>25</v>
      </c>
      <c r="I6" s="117">
        <f>VLOOKUP(A6,'list of materials'!A:F,6,0)</f>
        <v>24</v>
      </c>
      <c r="K6" s="116">
        <v>25</v>
      </c>
      <c r="L6" s="124">
        <v>25</v>
      </c>
      <c r="M6" s="124">
        <v>23</v>
      </c>
      <c r="N6" s="117">
        <v>20</v>
      </c>
    </row>
    <row r="7" spans="1:14" x14ac:dyDescent="0.3">
      <c r="A7" s="218">
        <v>765190</v>
      </c>
      <c r="B7" s="194" t="s">
        <v>32</v>
      </c>
      <c r="C7" s="209">
        <v>198</v>
      </c>
      <c r="D7" s="150">
        <v>200</v>
      </c>
      <c r="E7" s="150">
        <v>50</v>
      </c>
      <c r="F7" s="151">
        <v>50</v>
      </c>
      <c r="H7" s="116">
        <f>VLOOKUP(A7,'list of materials'!A:E,5,0)</f>
        <v>15</v>
      </c>
      <c r="I7" s="117">
        <f>VLOOKUP(A7,'list of materials'!A:F,6,0)</f>
        <v>16</v>
      </c>
      <c r="K7" s="116">
        <v>15</v>
      </c>
      <c r="L7" s="124">
        <v>15</v>
      </c>
      <c r="M7" s="124">
        <v>16</v>
      </c>
      <c r="N7" s="117">
        <v>17</v>
      </c>
    </row>
    <row r="8" spans="1:14" x14ac:dyDescent="0.3">
      <c r="A8" s="208">
        <v>867156</v>
      </c>
      <c r="B8" s="194" t="s">
        <v>12</v>
      </c>
      <c r="C8" s="209">
        <v>2481</v>
      </c>
      <c r="D8" s="150">
        <v>400</v>
      </c>
      <c r="E8" s="150">
        <v>100</v>
      </c>
      <c r="F8" s="151">
        <v>100</v>
      </c>
      <c r="H8" s="118">
        <f>VLOOKUP(A8,'list of materials'!A:E,5,0)</f>
        <v>28</v>
      </c>
      <c r="I8" s="119">
        <f>VLOOKUP(A8,'list of materials'!A:F,6,0)</f>
        <v>31</v>
      </c>
      <c r="K8" s="118">
        <v>30</v>
      </c>
      <c r="L8" s="125">
        <v>31</v>
      </c>
      <c r="M8" s="125">
        <v>32</v>
      </c>
      <c r="N8" s="119">
        <v>28</v>
      </c>
    </row>
    <row r="9" spans="1:14" x14ac:dyDescent="0.3">
      <c r="A9" s="191" t="s">
        <v>92</v>
      </c>
      <c r="B9" s="192"/>
      <c r="C9" s="211">
        <v>2998.5</v>
      </c>
      <c r="D9" s="152">
        <v>1400</v>
      </c>
      <c r="E9" s="152">
        <v>300</v>
      </c>
      <c r="F9" s="153">
        <v>289</v>
      </c>
    </row>
    <row r="11" spans="1:14" x14ac:dyDescent="0.3">
      <c r="A11" s="131" t="s">
        <v>96</v>
      </c>
      <c r="B11" s="121"/>
      <c r="C11" s="121"/>
      <c r="D11" s="121"/>
      <c r="E11" s="121"/>
      <c r="F11" s="193"/>
      <c r="K11" s="120" t="s">
        <v>95</v>
      </c>
      <c r="L11" s="121"/>
      <c r="M11" s="121"/>
      <c r="N11" s="193"/>
    </row>
    <row r="12" spans="1:14" x14ac:dyDescent="0.3">
      <c r="A12" s="201" t="s">
        <v>34</v>
      </c>
      <c r="B12" s="202" t="s">
        <v>60</v>
      </c>
      <c r="C12" s="202" t="s">
        <v>77</v>
      </c>
      <c r="D12" s="202" t="s">
        <v>81</v>
      </c>
      <c r="E12" s="202" t="s">
        <v>82</v>
      </c>
      <c r="F12" s="219" t="s">
        <v>83</v>
      </c>
      <c r="K12" s="215" t="s">
        <v>77</v>
      </c>
      <c r="L12" s="216" t="s">
        <v>81</v>
      </c>
      <c r="M12" s="216" t="s">
        <v>82</v>
      </c>
      <c r="N12" s="217" t="s">
        <v>83</v>
      </c>
    </row>
    <row r="13" spans="1:14" x14ac:dyDescent="0.3">
      <c r="A13" s="207">
        <v>560196</v>
      </c>
      <c r="B13" s="124" t="s">
        <v>31</v>
      </c>
      <c r="C13" s="150">
        <f t="shared" ref="C13:E16" si="0">C5*$H5</f>
        <v>5750</v>
      </c>
      <c r="D13" s="150">
        <f t="shared" si="0"/>
        <v>12500</v>
      </c>
      <c r="E13" s="150">
        <f t="shared" si="0"/>
        <v>2500</v>
      </c>
      <c r="F13" s="151">
        <f>F5*$I5</f>
        <v>2403</v>
      </c>
      <c r="K13" s="209">
        <f t="shared" ref="K13:N16" si="1">C5*K5</f>
        <v>6210</v>
      </c>
      <c r="L13" s="150">
        <f t="shared" si="1"/>
        <v>13000</v>
      </c>
      <c r="M13" s="150">
        <f t="shared" si="1"/>
        <v>2800</v>
      </c>
      <c r="N13" s="151">
        <f t="shared" si="1"/>
        <v>2670</v>
      </c>
    </row>
    <row r="14" spans="1:14" x14ac:dyDescent="0.3">
      <c r="A14" s="207">
        <v>657341</v>
      </c>
      <c r="B14" s="124" t="s">
        <v>30</v>
      </c>
      <c r="C14" s="150">
        <f t="shared" si="0"/>
        <v>2237.5</v>
      </c>
      <c r="D14" s="150">
        <f t="shared" si="0"/>
        <v>7500</v>
      </c>
      <c r="E14" s="150">
        <f t="shared" si="0"/>
        <v>1250</v>
      </c>
      <c r="F14" s="151">
        <f>F6*$I6</f>
        <v>1200</v>
      </c>
      <c r="K14" s="209">
        <f t="shared" si="1"/>
        <v>2237.5</v>
      </c>
      <c r="L14" s="150">
        <f t="shared" si="1"/>
        <v>7500</v>
      </c>
      <c r="M14" s="150">
        <f t="shared" si="1"/>
        <v>1150</v>
      </c>
      <c r="N14" s="151">
        <f t="shared" si="1"/>
        <v>1000</v>
      </c>
    </row>
    <row r="15" spans="1:14" x14ac:dyDescent="0.3">
      <c r="A15" s="207">
        <v>765190</v>
      </c>
      <c r="B15" s="124" t="s">
        <v>32</v>
      </c>
      <c r="C15" s="150">
        <f t="shared" si="0"/>
        <v>2970</v>
      </c>
      <c r="D15" s="150">
        <f t="shared" si="0"/>
        <v>3000</v>
      </c>
      <c r="E15" s="150">
        <f t="shared" si="0"/>
        <v>750</v>
      </c>
      <c r="F15" s="151">
        <f>F7*$I7</f>
        <v>800</v>
      </c>
      <c r="K15" s="209">
        <f t="shared" si="1"/>
        <v>2970</v>
      </c>
      <c r="L15" s="150">
        <f t="shared" si="1"/>
        <v>3000</v>
      </c>
      <c r="M15" s="150">
        <f t="shared" si="1"/>
        <v>800</v>
      </c>
      <c r="N15" s="151">
        <f t="shared" si="1"/>
        <v>850</v>
      </c>
    </row>
    <row r="16" spans="1:14" x14ac:dyDescent="0.3">
      <c r="A16" s="207">
        <v>867156</v>
      </c>
      <c r="B16" s="124" t="s">
        <v>12</v>
      </c>
      <c r="C16" s="150">
        <f t="shared" si="0"/>
        <v>69468</v>
      </c>
      <c r="D16" s="150">
        <f t="shared" si="0"/>
        <v>11200</v>
      </c>
      <c r="E16" s="150">
        <f t="shared" si="0"/>
        <v>2800</v>
      </c>
      <c r="F16" s="151">
        <f>F8*$I8</f>
        <v>3100</v>
      </c>
      <c r="K16" s="209">
        <f t="shared" si="1"/>
        <v>74430</v>
      </c>
      <c r="L16" s="150">
        <f t="shared" si="1"/>
        <v>12400</v>
      </c>
      <c r="M16" s="150">
        <f t="shared" si="1"/>
        <v>3200</v>
      </c>
      <c r="N16" s="151">
        <f t="shared" si="1"/>
        <v>2800</v>
      </c>
    </row>
    <row r="17" spans="1:14" x14ac:dyDescent="0.3">
      <c r="A17" s="118"/>
      <c r="B17" s="125"/>
      <c r="C17" s="212">
        <f>SUM(C13:C16)</f>
        <v>80425.5</v>
      </c>
      <c r="D17" s="212">
        <f>SUM(D13:D16)</f>
        <v>34200</v>
      </c>
      <c r="E17" s="212">
        <f>SUM(E13:E16)</f>
        <v>7300</v>
      </c>
      <c r="F17" s="179">
        <f>SUM(F13:F16)</f>
        <v>7503</v>
      </c>
      <c r="K17" s="220">
        <f>SUM(K13:K16)</f>
        <v>85847.5</v>
      </c>
      <c r="L17" s="212">
        <f>SUM(L13:L16)</f>
        <v>35900</v>
      </c>
      <c r="M17" s="212">
        <f>SUM(M13:M16)</f>
        <v>7950</v>
      </c>
      <c r="N17" s="179">
        <f>SUM(N13:N16)</f>
        <v>7320</v>
      </c>
    </row>
    <row r="18" spans="1:14" x14ac:dyDescent="0.3">
      <c r="A18" s="134" t="s">
        <v>97</v>
      </c>
      <c r="B18" s="124"/>
      <c r="C18" s="124"/>
      <c r="D18" s="124"/>
      <c r="E18" s="124"/>
      <c r="F18" s="117"/>
    </row>
    <row r="19" spans="1:14" x14ac:dyDescent="0.3">
      <c r="A19" s="201" t="s">
        <v>34</v>
      </c>
      <c r="B19" s="202" t="s">
        <v>60</v>
      </c>
      <c r="C19" s="202" t="s">
        <v>77</v>
      </c>
      <c r="D19" s="202" t="s">
        <v>81</v>
      </c>
      <c r="E19" s="202" t="s">
        <v>82</v>
      </c>
      <c r="F19" s="219" t="s">
        <v>83</v>
      </c>
    </row>
    <row r="20" spans="1:14" x14ac:dyDescent="0.3">
      <c r="A20" s="207">
        <v>560196</v>
      </c>
      <c r="B20" s="124" t="s">
        <v>31</v>
      </c>
      <c r="C20" s="150">
        <f t="shared" ref="C20:E23" si="2">C5*(K5-$H5)</f>
        <v>460</v>
      </c>
      <c r="D20" s="150">
        <f t="shared" si="2"/>
        <v>500</v>
      </c>
      <c r="E20" s="150">
        <f t="shared" si="2"/>
        <v>300</v>
      </c>
      <c r="F20" s="151">
        <f>F5*(N5-$I5)</f>
        <v>267</v>
      </c>
    </row>
    <row r="21" spans="1:14" x14ac:dyDescent="0.3">
      <c r="A21" s="207">
        <v>657341</v>
      </c>
      <c r="B21" s="124" t="s">
        <v>30</v>
      </c>
      <c r="C21" s="150">
        <f t="shared" si="2"/>
        <v>0</v>
      </c>
      <c r="D21" s="150">
        <f t="shared" si="2"/>
        <v>0</v>
      </c>
      <c r="E21" s="150">
        <f t="shared" si="2"/>
        <v>-100</v>
      </c>
      <c r="F21" s="151">
        <f>F6*(N6-$I6)</f>
        <v>-200</v>
      </c>
    </row>
    <row r="22" spans="1:14" x14ac:dyDescent="0.3">
      <c r="A22" s="207">
        <v>765190</v>
      </c>
      <c r="B22" s="124" t="s">
        <v>32</v>
      </c>
      <c r="C22" s="150">
        <f t="shared" si="2"/>
        <v>0</v>
      </c>
      <c r="D22" s="150">
        <f t="shared" si="2"/>
        <v>0</v>
      </c>
      <c r="E22" s="150">
        <f t="shared" si="2"/>
        <v>50</v>
      </c>
      <c r="F22" s="151">
        <f>F7*(N7-$I7)</f>
        <v>50</v>
      </c>
    </row>
    <row r="23" spans="1:14" x14ac:dyDescent="0.3">
      <c r="A23" s="207">
        <v>867156</v>
      </c>
      <c r="B23" s="124" t="s">
        <v>12</v>
      </c>
      <c r="C23" s="150">
        <f t="shared" si="2"/>
        <v>4962</v>
      </c>
      <c r="D23" s="150">
        <f t="shared" si="2"/>
        <v>1200</v>
      </c>
      <c r="E23" s="150">
        <f t="shared" si="2"/>
        <v>400</v>
      </c>
      <c r="F23" s="151">
        <f>F8*(N8-$I8)</f>
        <v>-300</v>
      </c>
    </row>
    <row r="24" spans="1:14" x14ac:dyDescent="0.3">
      <c r="A24" s="118"/>
      <c r="B24" s="125"/>
      <c r="C24" s="212">
        <f>SUM(C20:C23)</f>
        <v>5422</v>
      </c>
      <c r="D24" s="212">
        <f>SUM(D20:D23)</f>
        <v>1700</v>
      </c>
      <c r="E24" s="212">
        <f>SUM(E20:E23)</f>
        <v>650</v>
      </c>
      <c r="F24" s="179">
        <f>SUM(F20:F23)</f>
        <v>-183</v>
      </c>
    </row>
    <row r="33" s="113" customFormat="1" x14ac:dyDescent="0.3"/>
    <row r="34" s="113" customFormat="1" x14ac:dyDescent="0.3"/>
    <row r="35" s="113" customFormat="1" x14ac:dyDescent="0.3"/>
    <row r="36" s="113" customFormat="1" x14ac:dyDescent="0.3"/>
    <row r="37" s="113" customFormat="1" x14ac:dyDescent="0.3"/>
    <row r="38" s="113" customFormat="1" x14ac:dyDescent="0.3"/>
    <row r="39" s="113" customFormat="1" x14ac:dyDescent="0.3"/>
    <row r="40" s="113" customFormat="1" x14ac:dyDescent="0.3"/>
    <row r="41" s="113" customFormat="1" x14ac:dyDescent="0.3"/>
    <row r="42" s="113" customFormat="1" x14ac:dyDescent="0.3"/>
    <row r="43" s="113" customFormat="1" x14ac:dyDescent="0.3"/>
    <row r="44" s="113" customFormat="1" x14ac:dyDescent="0.3"/>
    <row r="45" s="113" customFormat="1" x14ac:dyDescent="0.3"/>
    <row r="46" s="113" customFormat="1" x14ac:dyDescent="0.3"/>
    <row r="47" s="113" customFormat="1" x14ac:dyDescent="0.3"/>
    <row r="48" s="113" customFormat="1" x14ac:dyDescent="0.3"/>
    <row r="49" s="113" customFormat="1" x14ac:dyDescent="0.3"/>
    <row r="50" s="113" customFormat="1" x14ac:dyDescent="0.3"/>
    <row r="51" s="113" customFormat="1" x14ac:dyDescent="0.3"/>
    <row r="52" s="113" customFormat="1" x14ac:dyDescent="0.3"/>
    <row r="53" s="113" customFormat="1" x14ac:dyDescent="0.3"/>
    <row r="54" s="113" customFormat="1" x14ac:dyDescent="0.3"/>
    <row r="55" s="113" customFormat="1" x14ac:dyDescent="0.3"/>
    <row r="56" s="113" customFormat="1" x14ac:dyDescent="0.3"/>
    <row r="57" s="113" customFormat="1" x14ac:dyDescent="0.3"/>
    <row r="58" s="113" customFormat="1" x14ac:dyDescent="0.3"/>
    <row r="59" s="113" customFormat="1" x14ac:dyDescent="0.3"/>
    <row r="60" s="113" customFormat="1" x14ac:dyDescent="0.3"/>
    <row r="61" s="113" customFormat="1" x14ac:dyDescent="0.3"/>
    <row r="62" s="113" customFormat="1" x14ac:dyDescent="0.3"/>
    <row r="63" s="113" customFormat="1" x14ac:dyDescent="0.3"/>
    <row r="64" s="113" customFormat="1" x14ac:dyDescent="0.3"/>
    <row r="65" s="113" customFormat="1" x14ac:dyDescent="0.3"/>
    <row r="66" s="113" customFormat="1" x14ac:dyDescent="0.3"/>
    <row r="67" s="113" customFormat="1" x14ac:dyDescent="0.3"/>
    <row r="68" s="113" customFormat="1" x14ac:dyDescent="0.3"/>
    <row r="69" s="113" customFormat="1" x14ac:dyDescent="0.3"/>
    <row r="70" s="113" customFormat="1" x14ac:dyDescent="0.3"/>
    <row r="71" s="113" customFormat="1" x14ac:dyDescent="0.3"/>
    <row r="72" s="113" customFormat="1" x14ac:dyDescent="0.3"/>
    <row r="73" s="113" customFormat="1" x14ac:dyDescent="0.3"/>
    <row r="74" s="113" customFormat="1" x14ac:dyDescent="0.3"/>
    <row r="75" s="113" customFormat="1" x14ac:dyDescent="0.3"/>
    <row r="76" s="113" customFormat="1" x14ac:dyDescent="0.3"/>
    <row r="77" s="113" customFormat="1" x14ac:dyDescent="0.3"/>
    <row r="78" s="113" customFormat="1" x14ac:dyDescent="0.3"/>
    <row r="79" s="113" customFormat="1" x14ac:dyDescent="0.3"/>
    <row r="80" s="113" customFormat="1" x14ac:dyDescent="0.3"/>
    <row r="81" s="113" customFormat="1" x14ac:dyDescent="0.3"/>
    <row r="82" s="113" customFormat="1" x14ac:dyDescent="0.3"/>
    <row r="83" s="113" customFormat="1" x14ac:dyDescent="0.3"/>
    <row r="84" s="113" customFormat="1" x14ac:dyDescent="0.3"/>
    <row r="85" s="113" customFormat="1" x14ac:dyDescent="0.3"/>
    <row r="86" s="113" customFormat="1" x14ac:dyDescent="0.3"/>
    <row r="87" s="113" customFormat="1" x14ac:dyDescent="0.3"/>
    <row r="88" s="113" customFormat="1" x14ac:dyDescent="0.3"/>
    <row r="89" s="113" customFormat="1" x14ac:dyDescent="0.3"/>
    <row r="90" s="113" customFormat="1" x14ac:dyDescent="0.3"/>
    <row r="91" s="113" customFormat="1" x14ac:dyDescent="0.3"/>
    <row r="92" s="113" customFormat="1" x14ac:dyDescent="0.3"/>
    <row r="93" s="113" customFormat="1" x14ac:dyDescent="0.3"/>
    <row r="94" s="113" customFormat="1" x14ac:dyDescent="0.3"/>
    <row r="95" s="113" customFormat="1" x14ac:dyDescent="0.3"/>
    <row r="96" s="113" customFormat="1" x14ac:dyDescent="0.3"/>
    <row r="97" s="113" customFormat="1" x14ac:dyDescent="0.3"/>
    <row r="98" s="113" customFormat="1" x14ac:dyDescent="0.3"/>
    <row r="99" s="113" customFormat="1" x14ac:dyDescent="0.3"/>
    <row r="100" s="113" customFormat="1" x14ac:dyDescent="0.3"/>
    <row r="101" s="113" customFormat="1" x14ac:dyDescent="0.3"/>
    <row r="102" s="113" customFormat="1" x14ac:dyDescent="0.3"/>
    <row r="103" s="113" customFormat="1" x14ac:dyDescent="0.3"/>
    <row r="104" s="113" customFormat="1" x14ac:dyDescent="0.3"/>
    <row r="105" s="113" customFormat="1" x14ac:dyDescent="0.3"/>
    <row r="106" s="113" customFormat="1" x14ac:dyDescent="0.3"/>
  </sheetData>
  <mergeCells count="1">
    <mergeCell ref="H3:I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7FFD1-64C1-4CF6-9B6B-735415D98B21}">
  <sheetPr>
    <tabColor theme="0" tint="-0.34998626667073579"/>
  </sheetPr>
  <dimension ref="A1:Q39"/>
  <sheetViews>
    <sheetView workbookViewId="0">
      <pane ySplit="1" topLeftCell="A2" activePane="bottomLeft" state="frozen"/>
      <selection activeCell="M36" sqref="M36"/>
      <selection pane="bottomLeft" activeCell="K37" sqref="K37"/>
    </sheetView>
  </sheetViews>
  <sheetFormatPr defaultColWidth="9.109375" defaultRowHeight="14.4" x14ac:dyDescent="0.3"/>
  <cols>
    <col min="1" max="1" width="9.109375" style="2"/>
    <col min="2" max="2" width="12.44140625" style="2" bestFit="1" customWidth="1"/>
    <col min="3" max="3" width="9.109375" style="2"/>
    <col min="4" max="4" width="14.88671875" style="2" bestFit="1" customWidth="1"/>
    <col min="5" max="8" width="10.5546875" style="2" customWidth="1"/>
    <col min="9" max="10" width="9.109375" style="2"/>
    <col min="11" max="11" width="15.109375" style="2" bestFit="1" customWidth="1"/>
    <col min="12" max="12" width="9.109375" style="2"/>
    <col min="13" max="16" width="11.6640625" style="2" customWidth="1"/>
    <col min="17" max="16384" width="9.109375" style="2"/>
  </cols>
  <sheetData>
    <row r="1" spans="1:17" x14ac:dyDescent="0.3">
      <c r="E1" s="4" t="s">
        <v>77</v>
      </c>
      <c r="F1" s="4" t="s">
        <v>81</v>
      </c>
      <c r="G1" s="4" t="s">
        <v>82</v>
      </c>
      <c r="H1" s="4" t="s">
        <v>83</v>
      </c>
      <c r="N1" s="4" t="s">
        <v>77</v>
      </c>
      <c r="O1" s="4" t="s">
        <v>81</v>
      </c>
      <c r="P1" s="4" t="s">
        <v>82</v>
      </c>
      <c r="Q1" s="4" t="s">
        <v>83</v>
      </c>
    </row>
    <row r="2" spans="1:17" x14ac:dyDescent="0.3">
      <c r="A2" s="2" t="str">
        <f>VLOOKUP(C2,'list of materials'!A:C,3,0)</f>
        <v>FG</v>
      </c>
      <c r="B2" s="237" t="s">
        <v>89</v>
      </c>
      <c r="C2" s="19">
        <v>120301</v>
      </c>
      <c r="D2" s="19" t="s">
        <v>42</v>
      </c>
      <c r="E2" s="37">
        <f>Stocks!E23</f>
        <v>0</v>
      </c>
      <c r="F2" s="37">
        <f>Stocks!F23</f>
        <v>210</v>
      </c>
      <c r="G2" s="37">
        <f>Stocks!G23</f>
        <v>100</v>
      </c>
      <c r="H2" s="38">
        <f>Stocks!H23</f>
        <v>0</v>
      </c>
      <c r="J2" s="2" t="str">
        <f>VLOOKUP(L2,'list of materials'!A:C,3,0)</f>
        <v>FG</v>
      </c>
      <c r="K2" s="237" t="s">
        <v>84</v>
      </c>
      <c r="L2" s="19">
        <v>120301</v>
      </c>
      <c r="M2" s="19" t="s">
        <v>42</v>
      </c>
      <c r="N2" s="37">
        <f>VLOOKUP($L2,'list of materials'!$A:$F,5,0)</f>
        <v>27.24775</v>
      </c>
      <c r="O2" s="37">
        <f>VLOOKUP($L2,'list of materials'!$A:$F,5,0)</f>
        <v>27.24775</v>
      </c>
      <c r="P2" s="37">
        <f>VLOOKUP($L2,'list of materials'!$A:$F,6,0)</f>
        <v>29.259799999999998</v>
      </c>
      <c r="Q2" s="38">
        <f>VLOOKUP($L2,'list of materials'!$A:$F,6,0)</f>
        <v>29.259799999999998</v>
      </c>
    </row>
    <row r="3" spans="1:17" x14ac:dyDescent="0.3">
      <c r="A3" s="2" t="str">
        <f>VLOOKUP(C3,'list of materials'!A:C,3,0)</f>
        <v>FG</v>
      </c>
      <c r="B3" s="238"/>
      <c r="C3" s="10">
        <v>156212</v>
      </c>
      <c r="D3" s="10" t="s">
        <v>43</v>
      </c>
      <c r="E3" s="32">
        <f>Stocks!E24</f>
        <v>0</v>
      </c>
      <c r="F3" s="32">
        <f>Stocks!F24</f>
        <v>500</v>
      </c>
      <c r="G3" s="32">
        <f>Stocks!G24</f>
        <v>700</v>
      </c>
      <c r="H3" s="13">
        <f>Stocks!H24</f>
        <v>0</v>
      </c>
      <c r="J3" s="2" t="str">
        <f>VLOOKUP(L3,'list of materials'!A:C,3,0)</f>
        <v>FG</v>
      </c>
      <c r="K3" s="238"/>
      <c r="L3" s="10">
        <v>156212</v>
      </c>
      <c r="M3" s="10" t="s">
        <v>43</v>
      </c>
      <c r="N3" s="32">
        <f>VLOOKUP($L3,'list of materials'!$A:$F,5,0)</f>
        <v>25.945</v>
      </c>
      <c r="O3" s="32">
        <f>VLOOKUP($L3,'list of materials'!$A:$F,5,0)</f>
        <v>25.945</v>
      </c>
      <c r="P3" s="32">
        <f>VLOOKUP($L3,'list of materials'!$A:$F,6,0)</f>
        <v>28.45</v>
      </c>
      <c r="Q3" s="13">
        <f>VLOOKUP($L3,'list of materials'!$A:$F,6,0)</f>
        <v>28.45</v>
      </c>
    </row>
    <row r="4" spans="1:17" x14ac:dyDescent="0.3">
      <c r="A4" s="2" t="str">
        <f>VLOOKUP(C4,'list of materials'!A:C,3,0)</f>
        <v>RM</v>
      </c>
      <c r="B4" s="238"/>
      <c r="C4" s="10">
        <v>867156</v>
      </c>
      <c r="D4" s="10" t="s">
        <v>12</v>
      </c>
      <c r="E4" s="32">
        <f>Stocks!E25</f>
        <v>2481</v>
      </c>
      <c r="F4" s="32">
        <f>Stocks!F25</f>
        <v>1933</v>
      </c>
      <c r="G4" s="32">
        <f>Stocks!G25</f>
        <v>578.59999999999991</v>
      </c>
      <c r="H4" s="13">
        <f>Stocks!H25</f>
        <v>0</v>
      </c>
      <c r="J4" s="2" t="str">
        <f>VLOOKUP(L4,'list of materials'!A:C,3,0)</f>
        <v>RM</v>
      </c>
      <c r="K4" s="238"/>
      <c r="L4" s="10">
        <v>867156</v>
      </c>
      <c r="M4" s="10" t="s">
        <v>12</v>
      </c>
      <c r="N4" s="32">
        <f>VLOOKUP($L4,'list of materials'!$A:$F,5,0)</f>
        <v>28</v>
      </c>
      <c r="O4" s="32">
        <f>VLOOKUP($L4,'list of materials'!$A:$F,5,0)</f>
        <v>28</v>
      </c>
      <c r="P4" s="32">
        <f>VLOOKUP($L4,'list of materials'!$A:$F,6,0)</f>
        <v>31</v>
      </c>
      <c r="Q4" s="13">
        <f>VLOOKUP($L4,'list of materials'!$A:$F,6,0)</f>
        <v>31</v>
      </c>
    </row>
    <row r="5" spans="1:17" x14ac:dyDescent="0.3">
      <c r="A5" s="2" t="str">
        <f>VLOOKUP(C5,'list of materials'!A:C,3,0)</f>
        <v>RM</v>
      </c>
      <c r="B5" s="238"/>
      <c r="C5" s="10">
        <v>765190</v>
      </c>
      <c r="D5" s="10" t="s">
        <v>32</v>
      </c>
      <c r="E5" s="32">
        <f>Stocks!E26</f>
        <v>198</v>
      </c>
      <c r="F5" s="32">
        <f>Stocks!F26</f>
        <v>247</v>
      </c>
      <c r="G5" s="32">
        <f>Stocks!G26</f>
        <v>51.899999999999977</v>
      </c>
      <c r="H5" s="13">
        <f>Stocks!H26</f>
        <v>0</v>
      </c>
      <c r="J5" s="2" t="str">
        <f>VLOOKUP(L5,'list of materials'!A:C,3,0)</f>
        <v>RM</v>
      </c>
      <c r="K5" s="238"/>
      <c r="L5" s="10">
        <v>765190</v>
      </c>
      <c r="M5" s="10" t="s">
        <v>32</v>
      </c>
      <c r="N5" s="32">
        <f>VLOOKUP($L5,'list of materials'!$A:$F,5,0)</f>
        <v>15</v>
      </c>
      <c r="O5" s="32">
        <f>VLOOKUP($L5,'list of materials'!$A:$F,5,0)</f>
        <v>15</v>
      </c>
      <c r="P5" s="32">
        <f>VLOOKUP($L5,'list of materials'!$A:$F,6,0)</f>
        <v>16</v>
      </c>
      <c r="Q5" s="13">
        <f>VLOOKUP($L5,'list of materials'!$A:$F,6,0)</f>
        <v>16</v>
      </c>
    </row>
    <row r="6" spans="1:17" x14ac:dyDescent="0.3">
      <c r="A6" s="2" t="str">
        <f>VLOOKUP(C6,'list of materials'!A:C,3,0)</f>
        <v>RM</v>
      </c>
      <c r="B6" s="238"/>
      <c r="C6" s="10">
        <v>657341</v>
      </c>
      <c r="D6" s="10" t="s">
        <v>30</v>
      </c>
      <c r="E6" s="32">
        <f>Stocks!E27</f>
        <v>89.5</v>
      </c>
      <c r="F6" s="32">
        <f>Stocks!F27</f>
        <v>266.8075</v>
      </c>
      <c r="G6" s="32">
        <f>Stocks!G27</f>
        <v>66</v>
      </c>
      <c r="H6" s="13">
        <f>Stocks!H27</f>
        <v>0</v>
      </c>
      <c r="J6" s="2" t="str">
        <f>VLOOKUP(L6,'list of materials'!A:C,3,0)</f>
        <v>RM</v>
      </c>
      <c r="K6" s="238"/>
      <c r="L6" s="10">
        <v>657341</v>
      </c>
      <c r="M6" s="10" t="s">
        <v>30</v>
      </c>
      <c r="N6" s="32">
        <f>VLOOKUP($L6,'list of materials'!$A:$F,5,0)</f>
        <v>25</v>
      </c>
      <c r="O6" s="32">
        <f>VLOOKUP($L6,'list of materials'!$A:$F,5,0)</f>
        <v>25</v>
      </c>
      <c r="P6" s="32">
        <f>VLOOKUP($L6,'list of materials'!$A:$F,6,0)</f>
        <v>24</v>
      </c>
      <c r="Q6" s="13">
        <f>VLOOKUP($L6,'list of materials'!$A:$F,6,0)</f>
        <v>24</v>
      </c>
    </row>
    <row r="7" spans="1:17" x14ac:dyDescent="0.3">
      <c r="A7" s="2" t="str">
        <f>VLOOKUP(C7,'list of materials'!A:C,3,0)</f>
        <v>SFG</v>
      </c>
      <c r="B7" s="238"/>
      <c r="C7" s="10">
        <v>876145</v>
      </c>
      <c r="D7" s="10" t="s">
        <v>14</v>
      </c>
      <c r="E7" s="32">
        <f>Stocks!E28</f>
        <v>0</v>
      </c>
      <c r="F7" s="32">
        <f>Stocks!F28</f>
        <v>5.4500000000000028</v>
      </c>
      <c r="G7" s="32">
        <f>Stocks!G28</f>
        <v>43.5</v>
      </c>
      <c r="H7" s="13">
        <f>Stocks!H28</f>
        <v>0</v>
      </c>
      <c r="J7" s="2" t="str">
        <f>VLOOKUP(L7,'list of materials'!A:C,3,0)</f>
        <v>SFG</v>
      </c>
      <c r="K7" s="238"/>
      <c r="L7" s="10">
        <v>876145</v>
      </c>
      <c r="M7" s="10" t="s">
        <v>14</v>
      </c>
      <c r="N7" s="32">
        <f>VLOOKUP($L7,'list of materials'!$A:$F,5,0)</f>
        <v>28.75</v>
      </c>
      <c r="O7" s="32">
        <f>VLOOKUP($L7,'list of materials'!$A:$F,5,0)</f>
        <v>28.75</v>
      </c>
      <c r="P7" s="32">
        <f>VLOOKUP($L7,'list of materials'!$A:$F,6,0)</f>
        <v>27.6</v>
      </c>
      <c r="Q7" s="13">
        <f>VLOOKUP($L7,'list of materials'!$A:$F,6,0)</f>
        <v>27.6</v>
      </c>
    </row>
    <row r="8" spans="1:17" x14ac:dyDescent="0.3">
      <c r="A8" s="2" t="str">
        <f>VLOOKUP(C8,'list of materials'!A:C,3,0)</f>
        <v>RM</v>
      </c>
      <c r="B8" s="239"/>
      <c r="C8" s="16">
        <v>560196</v>
      </c>
      <c r="D8" s="16" t="s">
        <v>31</v>
      </c>
      <c r="E8" s="34">
        <f>Stocks!E29</f>
        <v>230</v>
      </c>
      <c r="F8" s="34">
        <f>Stocks!F29</f>
        <v>390</v>
      </c>
      <c r="G8" s="34">
        <f>Stocks!G29</f>
        <v>9</v>
      </c>
      <c r="H8" s="35">
        <f>Stocks!H29</f>
        <v>0</v>
      </c>
      <c r="J8" s="2" t="str">
        <f>VLOOKUP(L8,'list of materials'!A:C,3,0)</f>
        <v>RM</v>
      </c>
      <c r="K8" s="239"/>
      <c r="L8" s="16">
        <v>560196</v>
      </c>
      <c r="M8" s="16" t="s">
        <v>31</v>
      </c>
      <c r="N8" s="34">
        <f>VLOOKUP($L8,'list of materials'!$A:$F,5,0)</f>
        <v>25</v>
      </c>
      <c r="O8" s="34">
        <f>VLOOKUP($L8,'list of materials'!$A:$F,5,0)</f>
        <v>25</v>
      </c>
      <c r="P8" s="34">
        <f>VLOOKUP($L8,'list of materials'!$A:$F,6,0)</f>
        <v>27</v>
      </c>
      <c r="Q8" s="35">
        <f>VLOOKUP($L8,'list of materials'!$A:$F,6,0)</f>
        <v>27</v>
      </c>
    </row>
    <row r="9" spans="1:17" ht="5.25" customHeight="1" x14ac:dyDescent="0.3">
      <c r="B9" s="84"/>
    </row>
    <row r="10" spans="1:17" x14ac:dyDescent="0.3">
      <c r="A10" s="2" t="str">
        <f>VLOOKUP(C10,'list of materials'!A:C,3,0)</f>
        <v>FG</v>
      </c>
      <c r="B10" s="237" t="s">
        <v>109</v>
      </c>
      <c r="C10" s="19">
        <v>120301</v>
      </c>
      <c r="D10" s="19" t="s">
        <v>42</v>
      </c>
      <c r="E10" s="44">
        <f>M18</f>
        <v>28.66375</v>
      </c>
      <c r="F10" s="44">
        <f>N18</f>
        <v>29.371749999999999</v>
      </c>
      <c r="G10" s="44">
        <f>O18</f>
        <v>29.710249999999998</v>
      </c>
      <c r="H10" s="45">
        <f>P18</f>
        <v>26.273</v>
      </c>
    </row>
    <row r="11" spans="1:17" x14ac:dyDescent="0.3">
      <c r="A11" s="2" t="str">
        <f>VLOOKUP(C11,'list of materials'!A:C,3,0)</f>
        <v>FG</v>
      </c>
      <c r="B11" s="238"/>
      <c r="C11" s="10">
        <v>156212</v>
      </c>
      <c r="D11" s="10" t="s">
        <v>43</v>
      </c>
      <c r="E11" s="85">
        <f>M32</f>
        <v>27.765000000000001</v>
      </c>
      <c r="F11" s="85">
        <f>N32</f>
        <v>28.035</v>
      </c>
      <c r="G11" s="85">
        <f>O32</f>
        <v>29.36</v>
      </c>
      <c r="H11" s="56">
        <f>P32</f>
        <v>27.734999999999999</v>
      </c>
    </row>
    <row r="12" spans="1:17" x14ac:dyDescent="0.3">
      <c r="A12" s="2" t="str">
        <f>VLOOKUP(C12,'list of materials'!A:C,3,0)</f>
        <v>RM</v>
      </c>
      <c r="B12" s="238"/>
      <c r="C12" s="10">
        <v>867156</v>
      </c>
      <c r="D12" s="10" t="s">
        <v>12</v>
      </c>
      <c r="E12" s="85">
        <f>'Purchases &amp; PPV'!K8</f>
        <v>30</v>
      </c>
      <c r="F12" s="85">
        <f>'Purchases &amp; PPV'!L8</f>
        <v>31</v>
      </c>
      <c r="G12" s="85">
        <f>'Purchases &amp; PPV'!M8</f>
        <v>32</v>
      </c>
      <c r="H12" s="56">
        <f>'Purchases &amp; PPV'!N8</f>
        <v>28</v>
      </c>
      <c r="K12" s="4" t="s">
        <v>111</v>
      </c>
    </row>
    <row r="13" spans="1:17" x14ac:dyDescent="0.3">
      <c r="A13" s="2" t="str">
        <f>VLOOKUP(C13,'list of materials'!A:C,3,0)</f>
        <v>RM</v>
      </c>
      <c r="B13" s="238"/>
      <c r="C13" s="10">
        <v>765190</v>
      </c>
      <c r="D13" s="10" t="s">
        <v>32</v>
      </c>
      <c r="E13" s="85">
        <f>'Purchases &amp; PPV'!K7</f>
        <v>15</v>
      </c>
      <c r="F13" s="85">
        <f>'Purchases &amp; PPV'!L7</f>
        <v>15</v>
      </c>
      <c r="G13" s="85">
        <f>'Purchases &amp; PPV'!M7</f>
        <v>16</v>
      </c>
      <c r="H13" s="56">
        <f>'Purchases &amp; PPV'!N7</f>
        <v>17</v>
      </c>
      <c r="K13" s="18" t="s">
        <v>110</v>
      </c>
      <c r="L13" s="86"/>
      <c r="M13" s="86" t="s">
        <v>109</v>
      </c>
      <c r="N13" s="86"/>
      <c r="O13" s="19"/>
      <c r="P13" s="31"/>
    </row>
    <row r="14" spans="1:17" x14ac:dyDescent="0.3">
      <c r="A14" s="2" t="str">
        <f>VLOOKUP(C14,'list of materials'!A:C,3,0)</f>
        <v>RM</v>
      </c>
      <c r="B14" s="238"/>
      <c r="C14" s="10">
        <v>657341</v>
      </c>
      <c r="D14" s="10" t="s">
        <v>30</v>
      </c>
      <c r="E14" s="85">
        <f>'Purchases &amp; PPV'!K6</f>
        <v>25</v>
      </c>
      <c r="F14" s="85">
        <f>'Purchases &amp; PPV'!L6</f>
        <v>25</v>
      </c>
      <c r="G14" s="85">
        <f>'Purchases &amp; PPV'!M6</f>
        <v>23</v>
      </c>
      <c r="H14" s="56">
        <f>'Purchases &amp; PPV'!N6</f>
        <v>20</v>
      </c>
      <c r="K14" s="9">
        <v>1000</v>
      </c>
      <c r="L14" s="10" t="s">
        <v>16</v>
      </c>
      <c r="M14" s="10" t="s">
        <v>77</v>
      </c>
      <c r="N14" s="10" t="s">
        <v>81</v>
      </c>
      <c r="O14" s="10" t="s">
        <v>82</v>
      </c>
      <c r="P14" s="11" t="s">
        <v>83</v>
      </c>
    </row>
    <row r="15" spans="1:17" x14ac:dyDescent="0.3">
      <c r="A15" s="2" t="str">
        <f>VLOOKUP(C15,'list of materials'!A:C,3,0)</f>
        <v>SFG</v>
      </c>
      <c r="B15" s="238"/>
      <c r="C15" s="10">
        <v>876145</v>
      </c>
      <c r="D15" s="10" t="s">
        <v>14</v>
      </c>
      <c r="E15" s="85">
        <f>M24</f>
        <v>28.75</v>
      </c>
      <c r="F15" s="85">
        <f>N24</f>
        <v>28.75</v>
      </c>
      <c r="G15" s="85">
        <f>O24</f>
        <v>26.45</v>
      </c>
      <c r="H15" s="56">
        <f>P24</f>
        <v>23</v>
      </c>
      <c r="K15" s="9" t="s">
        <v>12</v>
      </c>
      <c r="L15" s="10">
        <f>'BOM &amp; Std price'!L3</f>
        <v>708</v>
      </c>
      <c r="M15" s="10">
        <f>E12</f>
        <v>30</v>
      </c>
      <c r="N15" s="10">
        <f>F12</f>
        <v>31</v>
      </c>
      <c r="O15" s="10">
        <f>G12</f>
        <v>32</v>
      </c>
      <c r="P15" s="11">
        <f>H12</f>
        <v>28</v>
      </c>
    </row>
    <row r="16" spans="1:17" x14ac:dyDescent="0.3">
      <c r="A16" s="2" t="str">
        <f>VLOOKUP(C16,'list of materials'!A:C,3,0)</f>
        <v>RM</v>
      </c>
      <c r="B16" s="239"/>
      <c r="C16" s="16">
        <v>560196</v>
      </c>
      <c r="D16" s="16" t="s">
        <v>31</v>
      </c>
      <c r="E16" s="46">
        <f>'Purchases &amp; PPV'!K5</f>
        <v>27</v>
      </c>
      <c r="F16" s="46">
        <f>'Purchases &amp; PPV'!L5</f>
        <v>26</v>
      </c>
      <c r="G16" s="46">
        <f>'Purchases &amp; PPV'!M5</f>
        <v>28</v>
      </c>
      <c r="H16" s="47">
        <f>'Purchases &amp; PPV'!N5</f>
        <v>30</v>
      </c>
      <c r="K16" s="9" t="s">
        <v>14</v>
      </c>
      <c r="L16" s="10">
        <f>'BOM &amp; Std price'!L4</f>
        <v>205</v>
      </c>
      <c r="M16" s="10">
        <f>E15</f>
        <v>28.75</v>
      </c>
      <c r="N16" s="10">
        <f>F15</f>
        <v>28.75</v>
      </c>
      <c r="O16" s="10">
        <f>G15</f>
        <v>26.45</v>
      </c>
      <c r="P16" s="11">
        <f>H15</f>
        <v>23</v>
      </c>
    </row>
    <row r="17" spans="1:16" x14ac:dyDescent="0.3">
      <c r="B17" s="84"/>
      <c r="E17" s="30"/>
      <c r="F17" s="30"/>
      <c r="G17" s="30"/>
      <c r="H17" s="30"/>
      <c r="K17" s="9" t="s">
        <v>32</v>
      </c>
      <c r="L17" s="10">
        <f>'BOM &amp; Std price'!L5</f>
        <v>102</v>
      </c>
      <c r="M17" s="10">
        <f>E13</f>
        <v>15</v>
      </c>
      <c r="N17" s="10">
        <f>F13</f>
        <v>15</v>
      </c>
      <c r="O17" s="10">
        <f>G13</f>
        <v>16</v>
      </c>
      <c r="P17" s="11">
        <f>H13</f>
        <v>17</v>
      </c>
    </row>
    <row r="18" spans="1:16" ht="15" customHeight="1" x14ac:dyDescent="0.3">
      <c r="A18" s="2" t="str">
        <f>VLOOKUP(C18,'list of materials'!A:C,3,0)</f>
        <v>FG</v>
      </c>
      <c r="B18" s="237" t="s">
        <v>114</v>
      </c>
      <c r="C18" s="19">
        <v>120301</v>
      </c>
      <c r="D18" s="19" t="s">
        <v>42</v>
      </c>
      <c r="E18" s="44">
        <f t="shared" ref="E18:H24" si="0">(E10-N2)*E2</f>
        <v>0</v>
      </c>
      <c r="F18" s="44">
        <f t="shared" si="0"/>
        <v>446.03999999999974</v>
      </c>
      <c r="G18" s="44">
        <f t="shared" si="0"/>
        <v>45.045000000000002</v>
      </c>
      <c r="H18" s="45">
        <f t="shared" si="0"/>
        <v>0</v>
      </c>
      <c r="K18" s="15" t="s">
        <v>112</v>
      </c>
      <c r="L18" s="16"/>
      <c r="M18" s="87">
        <f>SUMPRODUCT(M15:M17,$L$15:$L$17)/$K$14</f>
        <v>28.66375</v>
      </c>
      <c r="N18" s="87">
        <f>SUMPRODUCT(N15:N17,$L$15:$L$17)/$K$14</f>
        <v>29.371749999999999</v>
      </c>
      <c r="O18" s="87">
        <f>SUMPRODUCT(O15:O17,$L$15:$L$17)/$K$14</f>
        <v>29.710249999999998</v>
      </c>
      <c r="P18" s="88">
        <f>SUMPRODUCT(P15:P17,$L$15:$L$17)/$K$14</f>
        <v>26.273</v>
      </c>
    </row>
    <row r="19" spans="1:16" x14ac:dyDescent="0.3">
      <c r="A19" s="2" t="str">
        <f>VLOOKUP(C19,'list of materials'!A:C,3,0)</f>
        <v>FG</v>
      </c>
      <c r="B19" s="238"/>
      <c r="C19" s="10">
        <v>156212</v>
      </c>
      <c r="D19" s="10" t="s">
        <v>43</v>
      </c>
      <c r="E19" s="85">
        <f t="shared" si="0"/>
        <v>0</v>
      </c>
      <c r="F19" s="85">
        <f t="shared" si="0"/>
        <v>1045</v>
      </c>
      <c r="G19" s="85">
        <f t="shared" si="0"/>
        <v>637.00000000000011</v>
      </c>
      <c r="H19" s="56">
        <f t="shared" si="0"/>
        <v>0</v>
      </c>
    </row>
    <row r="20" spans="1:16" x14ac:dyDescent="0.3">
      <c r="A20" s="2" t="str">
        <f>VLOOKUP(C20,'list of materials'!A:C,3,0)</f>
        <v>RM</v>
      </c>
      <c r="B20" s="238"/>
      <c r="C20" s="10">
        <v>867156</v>
      </c>
      <c r="D20" s="10" t="s">
        <v>12</v>
      </c>
      <c r="E20" s="85">
        <f t="shared" si="0"/>
        <v>4962</v>
      </c>
      <c r="F20" s="85">
        <f t="shared" si="0"/>
        <v>5799</v>
      </c>
      <c r="G20" s="85">
        <f t="shared" si="0"/>
        <v>578.59999999999991</v>
      </c>
      <c r="H20" s="56">
        <f t="shared" si="0"/>
        <v>0</v>
      </c>
      <c r="K20" s="4" t="s">
        <v>14</v>
      </c>
    </row>
    <row r="21" spans="1:16" x14ac:dyDescent="0.3">
      <c r="A21" s="2" t="str">
        <f>VLOOKUP(C21,'list of materials'!A:C,3,0)</f>
        <v>RM</v>
      </c>
      <c r="B21" s="238"/>
      <c r="C21" s="10">
        <v>765190</v>
      </c>
      <c r="D21" s="10" t="s">
        <v>32</v>
      </c>
      <c r="E21" s="85">
        <f t="shared" si="0"/>
        <v>0</v>
      </c>
      <c r="F21" s="85">
        <f t="shared" si="0"/>
        <v>0</v>
      </c>
      <c r="G21" s="85">
        <f t="shared" si="0"/>
        <v>0</v>
      </c>
      <c r="H21" s="56">
        <f t="shared" si="0"/>
        <v>0</v>
      </c>
      <c r="K21" s="18" t="s">
        <v>110</v>
      </c>
      <c r="L21" s="86"/>
      <c r="M21" s="86" t="s">
        <v>109</v>
      </c>
      <c r="N21" s="86"/>
      <c r="O21" s="19"/>
      <c r="P21" s="31"/>
    </row>
    <row r="22" spans="1:16" x14ac:dyDescent="0.3">
      <c r="A22" s="2" t="str">
        <f>VLOOKUP(C22,'list of materials'!A:C,3,0)</f>
        <v>RM</v>
      </c>
      <c r="B22" s="238"/>
      <c r="C22" s="10">
        <v>657341</v>
      </c>
      <c r="D22" s="10" t="s">
        <v>30</v>
      </c>
      <c r="E22" s="85">
        <f t="shared" si="0"/>
        <v>0</v>
      </c>
      <c r="F22" s="85">
        <f t="shared" si="0"/>
        <v>0</v>
      </c>
      <c r="G22" s="85">
        <f t="shared" si="0"/>
        <v>-66</v>
      </c>
      <c r="H22" s="56">
        <f t="shared" si="0"/>
        <v>0</v>
      </c>
      <c r="K22" s="9">
        <v>1000</v>
      </c>
      <c r="L22" s="10" t="s">
        <v>16</v>
      </c>
      <c r="M22" s="10" t="s">
        <v>77</v>
      </c>
      <c r="N22" s="10" t="s">
        <v>81</v>
      </c>
      <c r="O22" s="10" t="s">
        <v>82</v>
      </c>
      <c r="P22" s="11" t="s">
        <v>83</v>
      </c>
    </row>
    <row r="23" spans="1:16" x14ac:dyDescent="0.3">
      <c r="A23" s="2" t="str">
        <f>VLOOKUP(C23,'list of materials'!A:C,3,0)</f>
        <v>SFG</v>
      </c>
      <c r="B23" s="238"/>
      <c r="C23" s="10">
        <v>876145</v>
      </c>
      <c r="D23" s="10" t="s">
        <v>14</v>
      </c>
      <c r="E23" s="85">
        <f t="shared" si="0"/>
        <v>0</v>
      </c>
      <c r="F23" s="85">
        <f t="shared" si="0"/>
        <v>0</v>
      </c>
      <c r="G23" s="85">
        <f t="shared" si="0"/>
        <v>-50.025000000000091</v>
      </c>
      <c r="H23" s="56">
        <f t="shared" si="0"/>
        <v>0</v>
      </c>
      <c r="K23" s="9" t="s">
        <v>12</v>
      </c>
      <c r="L23" s="10">
        <f>'BOM &amp; Std price'!L15</f>
        <v>1150</v>
      </c>
      <c r="M23" s="10">
        <f>E14</f>
        <v>25</v>
      </c>
      <c r="N23" s="10">
        <f>F14</f>
        <v>25</v>
      </c>
      <c r="O23" s="10">
        <f>G14</f>
        <v>23</v>
      </c>
      <c r="P23" s="11">
        <f>H14</f>
        <v>20</v>
      </c>
    </row>
    <row r="24" spans="1:16" x14ac:dyDescent="0.3">
      <c r="A24" s="2" t="str">
        <f>VLOOKUP(C24,'list of materials'!A:C,3,0)</f>
        <v>RM</v>
      </c>
      <c r="B24" s="239"/>
      <c r="C24" s="16">
        <v>560196</v>
      </c>
      <c r="D24" s="16" t="s">
        <v>31</v>
      </c>
      <c r="E24" s="46">
        <f t="shared" si="0"/>
        <v>460</v>
      </c>
      <c r="F24" s="46">
        <f t="shared" si="0"/>
        <v>390</v>
      </c>
      <c r="G24" s="46">
        <f t="shared" si="0"/>
        <v>9</v>
      </c>
      <c r="H24" s="47">
        <f t="shared" si="0"/>
        <v>0</v>
      </c>
      <c r="K24" s="15" t="s">
        <v>112</v>
      </c>
      <c r="L24" s="16"/>
      <c r="M24" s="16">
        <f>M23*$L$23/$K$22</f>
        <v>28.75</v>
      </c>
      <c r="N24" s="16">
        <f>N23*$L$23/$K$22</f>
        <v>28.75</v>
      </c>
      <c r="O24" s="16">
        <f>O23*$L$23/$K$22</f>
        <v>26.45</v>
      </c>
      <c r="P24" s="17">
        <f>P23*$L$23/$K$22</f>
        <v>23</v>
      </c>
    </row>
    <row r="25" spans="1:16" x14ac:dyDescent="0.3">
      <c r="E25" s="30"/>
      <c r="F25" s="30"/>
      <c r="G25" s="30"/>
      <c r="H25" s="30"/>
    </row>
    <row r="26" spans="1:16" ht="15" customHeight="1" x14ac:dyDescent="0.3">
      <c r="A26" s="2" t="s">
        <v>3</v>
      </c>
      <c r="B26" s="18" t="s">
        <v>115</v>
      </c>
      <c r="C26" s="19"/>
      <c r="D26" s="19"/>
      <c r="E26" s="44">
        <f>SUMIFS(E$18:E$24,$A$18:$A$24,$A26)</f>
        <v>5422</v>
      </c>
      <c r="F26" s="44">
        <f>SUMIFS(F$18:F$24,$A$18:$A$24,$A26)</f>
        <v>6189</v>
      </c>
      <c r="G26" s="44">
        <f>SUMIFS(G$18:G$24,$A$18:$A$24,$A26)</f>
        <v>521.59999999999991</v>
      </c>
      <c r="H26" s="45">
        <f>SUMIFS(H$18:H$24,$A$18:$A$24,$A26)</f>
        <v>0</v>
      </c>
      <c r="K26" s="4" t="s">
        <v>113</v>
      </c>
    </row>
    <row r="27" spans="1:16" x14ac:dyDescent="0.3">
      <c r="A27" s="2" t="s">
        <v>3</v>
      </c>
      <c r="B27" s="9" t="s">
        <v>143</v>
      </c>
      <c r="C27" s="10"/>
      <c r="D27" s="10"/>
      <c r="E27" s="85"/>
      <c r="F27" s="85"/>
      <c r="G27" s="85">
        <f>G4*(P4-O4)+G5*(P5-O5)+G6*(P6-O6)+G8*(P8-O8)</f>
        <v>1739.6999999999998</v>
      </c>
      <c r="H27" s="56"/>
      <c r="K27" s="18" t="s">
        <v>110</v>
      </c>
      <c r="L27" s="86"/>
      <c r="M27" s="86" t="s">
        <v>109</v>
      </c>
      <c r="N27" s="86"/>
      <c r="O27" s="19"/>
      <c r="P27" s="31"/>
    </row>
    <row r="28" spans="1:16" x14ac:dyDescent="0.3">
      <c r="B28" s="9" t="s">
        <v>116</v>
      </c>
      <c r="C28" s="10"/>
      <c r="D28" s="10"/>
      <c r="E28" s="85"/>
      <c r="F28" s="85">
        <f>-E26</f>
        <v>-5422</v>
      </c>
      <c r="G28" s="85">
        <f>-F26</f>
        <v>-6189</v>
      </c>
      <c r="H28" s="56">
        <f>-G26</f>
        <v>-521.59999999999991</v>
      </c>
      <c r="K28" s="9">
        <v>1000</v>
      </c>
      <c r="L28" s="10" t="s">
        <v>16</v>
      </c>
      <c r="M28" s="10" t="s">
        <v>77</v>
      </c>
      <c r="N28" s="10" t="s">
        <v>81</v>
      </c>
      <c r="O28" s="10" t="s">
        <v>82</v>
      </c>
      <c r="P28" s="11" t="s">
        <v>83</v>
      </c>
    </row>
    <row r="29" spans="1:16" x14ac:dyDescent="0.3">
      <c r="B29" s="14" t="s">
        <v>29</v>
      </c>
      <c r="C29" s="16"/>
      <c r="D29" s="16"/>
      <c r="E29" s="89">
        <f>SUM(E26:E28)</f>
        <v>5422</v>
      </c>
      <c r="F29" s="89">
        <f>SUM(F26:F28)</f>
        <v>767</v>
      </c>
      <c r="G29" s="89">
        <f>SUM(G26:G28)</f>
        <v>-3927.7000000000003</v>
      </c>
      <c r="H29" s="90">
        <f>SUM(H26:H28)</f>
        <v>-521.59999999999991</v>
      </c>
      <c r="K29" s="9" t="str">
        <f>'BOM &amp; Std price'!K25</f>
        <v>Chocolate mass</v>
      </c>
      <c r="L29" s="10">
        <f>'BOM &amp; Std price'!L25</f>
        <v>590</v>
      </c>
      <c r="M29" s="10">
        <f>E12</f>
        <v>30</v>
      </c>
      <c r="N29" s="10">
        <f>F12</f>
        <v>31</v>
      </c>
      <c r="O29" s="10">
        <f>G12</f>
        <v>32</v>
      </c>
      <c r="P29" s="11">
        <f>H12</f>
        <v>28</v>
      </c>
    </row>
    <row r="30" spans="1:16" x14ac:dyDescent="0.3">
      <c r="K30" s="9" t="str">
        <f>'BOM &amp; Std price'!K26</f>
        <v>Biscuit</v>
      </c>
      <c r="L30" s="10">
        <f>'BOM &amp; Std price'!L26</f>
        <v>320</v>
      </c>
      <c r="M30" s="10">
        <f>E16</f>
        <v>27</v>
      </c>
      <c r="N30" s="10">
        <f>F16</f>
        <v>26</v>
      </c>
      <c r="O30" s="10">
        <f>G16</f>
        <v>28</v>
      </c>
      <c r="P30" s="11">
        <f>H16</f>
        <v>30</v>
      </c>
    </row>
    <row r="31" spans="1:16" x14ac:dyDescent="0.3">
      <c r="A31" s="2" t="s">
        <v>4</v>
      </c>
      <c r="B31" s="18" t="s">
        <v>115</v>
      </c>
      <c r="C31" s="19"/>
      <c r="D31" s="19"/>
      <c r="E31" s="44">
        <f>SUMIFS(E$18:E$24,$A$18:$A$24,$A31)</f>
        <v>0</v>
      </c>
      <c r="F31" s="44">
        <f>SUMIFS(F$18:F$24,$A$18:$A$24,$A31)</f>
        <v>0</v>
      </c>
      <c r="G31" s="44">
        <f>SUMIFS(G$18:G$24,$A$18:$A$24,$A31)</f>
        <v>-50.025000000000091</v>
      </c>
      <c r="H31" s="45">
        <f>SUMIFS(H$18:H$24,$A$18:$A$24,$A31)</f>
        <v>0</v>
      </c>
      <c r="K31" s="9" t="str">
        <f>'BOM &amp; Std price'!K27</f>
        <v>Caramel</v>
      </c>
      <c r="L31" s="10">
        <f>'BOM &amp; Std price'!L27</f>
        <v>95</v>
      </c>
      <c r="M31" s="10">
        <f>E13</f>
        <v>15</v>
      </c>
      <c r="N31" s="10">
        <f>F13</f>
        <v>15</v>
      </c>
      <c r="O31" s="10">
        <f>G13</f>
        <v>16</v>
      </c>
      <c r="P31" s="11">
        <f>H13</f>
        <v>17</v>
      </c>
    </row>
    <row r="32" spans="1:16" x14ac:dyDescent="0.3">
      <c r="A32" s="2" t="s">
        <v>4</v>
      </c>
      <c r="B32" s="9" t="s">
        <v>143</v>
      </c>
      <c r="C32" s="10"/>
      <c r="D32" s="10"/>
      <c r="E32" s="85"/>
      <c r="F32" s="85"/>
      <c r="G32" s="85">
        <f>G7*(P7-O7)</f>
        <v>-50.024999999999935</v>
      </c>
      <c r="H32" s="56"/>
      <c r="K32" s="15" t="s">
        <v>112</v>
      </c>
      <c r="L32" s="16"/>
      <c r="M32" s="87">
        <f>SUMPRODUCT(M29:M31,$L$29:$L$31)/$K$28</f>
        <v>27.765000000000001</v>
      </c>
      <c r="N32" s="87">
        <f>SUMPRODUCT(N29:N31,$L$29:$L$31)/$K$28</f>
        <v>28.035</v>
      </c>
      <c r="O32" s="87">
        <f>SUMPRODUCT(O29:O31,$L$29:$L$31)/$K$28</f>
        <v>29.36</v>
      </c>
      <c r="P32" s="88">
        <f>SUMPRODUCT(P29:P31,$L$29:$L$31)/$K$28</f>
        <v>27.734999999999999</v>
      </c>
    </row>
    <row r="33" spans="1:8" x14ac:dyDescent="0.3">
      <c r="B33" s="9" t="s">
        <v>116</v>
      </c>
      <c r="C33" s="10"/>
      <c r="D33" s="10"/>
      <c r="E33" s="85"/>
      <c r="F33" s="85">
        <f>-E31</f>
        <v>0</v>
      </c>
      <c r="G33" s="85">
        <f>-F31</f>
        <v>0</v>
      </c>
      <c r="H33" s="56">
        <f>-G31</f>
        <v>50.025000000000091</v>
      </c>
    </row>
    <row r="34" spans="1:8" x14ac:dyDescent="0.3">
      <c r="B34" s="14" t="s">
        <v>29</v>
      </c>
      <c r="C34" s="16"/>
      <c r="D34" s="16"/>
      <c r="E34" s="89">
        <f>SUM(E31:E33)</f>
        <v>0</v>
      </c>
      <c r="F34" s="89">
        <f>SUM(F31:F33)</f>
        <v>0</v>
      </c>
      <c r="G34" s="89">
        <f>SUM(G31:G33)</f>
        <v>-100.05000000000003</v>
      </c>
      <c r="H34" s="90">
        <f>SUM(H31:H33)</f>
        <v>50.025000000000091</v>
      </c>
    </row>
    <row r="36" spans="1:8" x14ac:dyDescent="0.3">
      <c r="A36" s="2" t="s">
        <v>5</v>
      </c>
      <c r="B36" s="18" t="s">
        <v>115</v>
      </c>
      <c r="C36" s="19"/>
      <c r="D36" s="19"/>
      <c r="E36" s="44">
        <f>SUMIFS(E$18:E$24,$A$18:$A$24,$A36)</f>
        <v>0</v>
      </c>
      <c r="F36" s="44">
        <f>SUMIFS(F$18:F$24,$A$18:$A$24,$A36)</f>
        <v>1491.0399999999997</v>
      </c>
      <c r="G36" s="44">
        <f>SUMIFS(G$18:G$24,$A$18:$A$24,$A36)</f>
        <v>682.04500000000007</v>
      </c>
      <c r="H36" s="45">
        <f>SUMIFS(H$18:H$24,$A$18:$A$24,$A36)</f>
        <v>0</v>
      </c>
    </row>
    <row r="37" spans="1:8" x14ac:dyDescent="0.3">
      <c r="A37" s="2" t="s">
        <v>5</v>
      </c>
      <c r="B37" s="9" t="s">
        <v>143</v>
      </c>
      <c r="C37" s="10"/>
      <c r="D37" s="10"/>
      <c r="E37" s="85"/>
      <c r="F37" s="85"/>
      <c r="G37" s="85">
        <f>G2*(P2-O2)+G3*(P3-O3)</f>
        <v>1954.7049999999992</v>
      </c>
      <c r="H37" s="56"/>
    </row>
    <row r="38" spans="1:8" x14ac:dyDescent="0.3">
      <c r="B38" s="9" t="s">
        <v>116</v>
      </c>
      <c r="C38" s="10"/>
      <c r="D38" s="10"/>
      <c r="E38" s="85"/>
      <c r="F38" s="85">
        <f>-E36</f>
        <v>0</v>
      </c>
      <c r="G38" s="85">
        <f>-F36</f>
        <v>-1491.0399999999997</v>
      </c>
      <c r="H38" s="56">
        <f>-G36</f>
        <v>-682.04500000000007</v>
      </c>
    </row>
    <row r="39" spans="1:8" x14ac:dyDescent="0.3">
      <c r="B39" s="14" t="s">
        <v>29</v>
      </c>
      <c r="C39" s="16"/>
      <c r="D39" s="16"/>
      <c r="E39" s="89">
        <f>SUM(E36:E38)</f>
        <v>0</v>
      </c>
      <c r="F39" s="89">
        <f>SUM(F36:F38)</f>
        <v>1491.0399999999997</v>
      </c>
      <c r="G39" s="89">
        <f>SUM(G36:G38)</f>
        <v>1145.7099999999994</v>
      </c>
      <c r="H39" s="90">
        <f>SUM(H36:H38)</f>
        <v>-682.04500000000007</v>
      </c>
    </row>
  </sheetData>
  <mergeCells count="4">
    <mergeCell ref="B18:B24"/>
    <mergeCell ref="B2:B8"/>
    <mergeCell ref="K2:K8"/>
    <mergeCell ref="B10:B1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4874-59D2-4F11-8EBB-599E3DE61D21}">
  <sheetPr>
    <tabColor theme="0" tint="-0.34998626667073579"/>
  </sheetPr>
  <dimension ref="A1:Q108"/>
  <sheetViews>
    <sheetView zoomScaleNormal="100" workbookViewId="0">
      <selection activeCell="S22" sqref="S22"/>
    </sheetView>
  </sheetViews>
  <sheetFormatPr defaultColWidth="9.109375" defaultRowHeight="14.4" x14ac:dyDescent="0.3"/>
  <cols>
    <col min="1" max="1" width="24.5546875" style="2" customWidth="1"/>
    <col min="2" max="2" width="3.88671875" style="2" bestFit="1" customWidth="1"/>
    <col min="3" max="3" width="19.44140625" style="2" customWidth="1"/>
    <col min="4" max="4" width="10.88671875" style="2" customWidth="1"/>
    <col min="5" max="5" width="10.44140625" style="2" bestFit="1" customWidth="1"/>
    <col min="6" max="6" width="10.109375" style="2" bestFit="1" customWidth="1"/>
    <col min="7" max="7" width="11" style="2" customWidth="1"/>
    <col min="8" max="8" width="1.88671875" style="2" customWidth="1"/>
    <col min="9" max="9" width="9.109375" style="2" bestFit="1" customWidth="1"/>
    <col min="10" max="10" width="20.5546875" style="2" bestFit="1" customWidth="1"/>
    <col min="11" max="11" width="12" style="2" bestFit="1" customWidth="1"/>
    <col min="12" max="13" width="9.109375" style="2"/>
    <col min="14" max="14" width="10.44140625" style="2" bestFit="1" customWidth="1"/>
    <col min="15" max="15" width="10.109375" style="2" bestFit="1" customWidth="1"/>
    <col min="16" max="16" width="10.109375" style="2" customWidth="1"/>
    <col min="17" max="16384" width="9.109375" style="2"/>
  </cols>
  <sheetData>
    <row r="1" spans="1:17" ht="15" thickBot="1" x14ac:dyDescent="0.35"/>
    <row r="2" spans="1:17" x14ac:dyDescent="0.3">
      <c r="A2" s="21"/>
      <c r="B2" s="22"/>
      <c r="C2" s="1" t="s">
        <v>43</v>
      </c>
      <c r="D2" s="22"/>
      <c r="E2" s="22"/>
      <c r="F2" s="22"/>
      <c r="G2" s="22"/>
      <c r="H2" s="22"/>
      <c r="I2" s="22"/>
      <c r="J2" s="22" t="s">
        <v>122</v>
      </c>
      <c r="K2" s="22">
        <v>1000</v>
      </c>
      <c r="L2" s="22" t="s">
        <v>16</v>
      </c>
      <c r="M2" s="22"/>
      <c r="N2" s="22"/>
      <c r="O2" s="22"/>
      <c r="P2" s="22"/>
      <c r="Q2" s="91"/>
    </row>
    <row r="3" spans="1:17" x14ac:dyDescent="0.3">
      <c r="A3" s="23"/>
      <c r="B3" s="10"/>
      <c r="C3" s="10"/>
      <c r="D3" s="29" t="s">
        <v>77</v>
      </c>
      <c r="E3" s="29" t="s">
        <v>81</v>
      </c>
      <c r="F3" s="29" t="s">
        <v>82</v>
      </c>
      <c r="G3" s="29" t="s">
        <v>83</v>
      </c>
      <c r="H3" s="10"/>
      <c r="I3" s="12" t="s">
        <v>15</v>
      </c>
      <c r="J3" s="12" t="s">
        <v>27</v>
      </c>
      <c r="K3" s="12" t="s">
        <v>59</v>
      </c>
      <c r="L3" s="12" t="str">
        <f>'BOM &amp; Std price'!D28</f>
        <v>Std'22</v>
      </c>
      <c r="M3" s="12" t="str">
        <f>'BOM &amp; Std price'!E28</f>
        <v>Oct act</v>
      </c>
      <c r="N3" s="12" t="str">
        <f>'BOM &amp; Std price'!F28</f>
        <v>Nov act</v>
      </c>
      <c r="O3" s="12" t="str">
        <f>'BOM &amp; Std price'!G28</f>
        <v>Dec act</v>
      </c>
      <c r="P3" s="12" t="str">
        <f>'BOM &amp; Std price'!H28</f>
        <v>Std'23</v>
      </c>
      <c r="Q3" s="92" t="str">
        <f>'BOM &amp; Std price'!I28</f>
        <v>Jan act</v>
      </c>
    </row>
    <row r="4" spans="1:17" x14ac:dyDescent="0.3">
      <c r="A4" s="23" t="s">
        <v>52</v>
      </c>
      <c r="B4" s="10"/>
      <c r="C4" s="10" t="s">
        <v>121</v>
      </c>
      <c r="D4" s="10">
        <f>SUMIFS(Movements!$I:$I,Movements!$G:$G,$A4,Movements!$A:$A,D$3,Movements!$C:$C,'Formulation &amp; overusage'!$C$2)</f>
        <v>0</v>
      </c>
      <c r="E4" s="32">
        <f>SUMIFS(Movements!$I:$I,Movements!$G:$G,$A4,Movements!$A:$A,E$3,Movements!$C:$C,'Formulation &amp; overusage'!$C$2)</f>
        <v>1000</v>
      </c>
      <c r="F4" s="32">
        <f>SUMIFS(Movements!$I:$I,Movements!$G:$G,$A4,Movements!$A:$A,F$3,Movements!$C:$C,'Formulation &amp; overusage'!$C$2)</f>
        <v>1500</v>
      </c>
      <c r="G4" s="32">
        <f>SUMIFS(Movements!$I:$I,Movements!$G:$G,$A4,Movements!$A:$A,G$3,Movements!$C:$C,'Formulation &amp; overusage'!$C$2)</f>
        <v>303</v>
      </c>
      <c r="H4" s="10"/>
      <c r="I4" s="10" t="s">
        <v>3</v>
      </c>
      <c r="J4" s="10" t="s">
        <v>12</v>
      </c>
      <c r="K4" s="10">
        <f>'BOM &amp; Std price'!C29</f>
        <v>867156</v>
      </c>
      <c r="L4" s="10">
        <v>590</v>
      </c>
      <c r="M4" s="10">
        <f>'BOM &amp; Std price'!E29</f>
        <v>590</v>
      </c>
      <c r="N4" s="10">
        <f>'BOM &amp; Std price'!F29</f>
        <v>590</v>
      </c>
      <c r="O4" s="10">
        <f>'BOM &amp; Std price'!G29</f>
        <v>590</v>
      </c>
      <c r="P4" s="10">
        <f>'BOM &amp; Std price'!H29</f>
        <v>590</v>
      </c>
      <c r="Q4" s="24">
        <f>'BOM &amp; Std price'!I29</f>
        <v>590</v>
      </c>
    </row>
    <row r="5" spans="1:17" x14ac:dyDescent="0.3">
      <c r="A5" s="23"/>
      <c r="B5" s="10"/>
      <c r="C5" s="10"/>
      <c r="D5" s="10"/>
      <c r="E5" s="32"/>
      <c r="F5" s="32"/>
      <c r="G5" s="32"/>
      <c r="H5" s="10"/>
      <c r="I5" s="10" t="s">
        <v>3</v>
      </c>
      <c r="J5" s="10" t="s">
        <v>31</v>
      </c>
      <c r="K5" s="10">
        <f>'BOM &amp; Std price'!C30</f>
        <v>560196</v>
      </c>
      <c r="L5" s="10">
        <v>320</v>
      </c>
      <c r="M5" s="10">
        <f>'BOM &amp; Std price'!E30</f>
        <v>320</v>
      </c>
      <c r="N5" s="10">
        <f>'BOM &amp; Std price'!F30</f>
        <v>320</v>
      </c>
      <c r="O5" s="10">
        <f>'BOM &amp; Std price'!G30</f>
        <v>320</v>
      </c>
      <c r="P5" s="10">
        <f>'BOM &amp; Std price'!H30</f>
        <v>320</v>
      </c>
      <c r="Q5" s="24">
        <f>'BOM &amp; Std price'!I30</f>
        <v>320</v>
      </c>
    </row>
    <row r="6" spans="1:17" x14ac:dyDescent="0.3">
      <c r="A6" s="240" t="s">
        <v>123</v>
      </c>
      <c r="B6" s="10" t="str">
        <f t="shared" ref="B6:C8" si="0">I4</f>
        <v>RM</v>
      </c>
      <c r="C6" s="10" t="str">
        <f t="shared" si="0"/>
        <v>Chocolate mass</v>
      </c>
      <c r="D6" s="10">
        <f>$L4/$K$2*D$4</f>
        <v>0</v>
      </c>
      <c r="E6" s="32">
        <f>$L4/$K$2*E$4</f>
        <v>590</v>
      </c>
      <c r="F6" s="32">
        <f>$L4/$K$2*F$4</f>
        <v>885</v>
      </c>
      <c r="G6" s="32">
        <f>$P4/$K$2*G$4</f>
        <v>178.76999999999998</v>
      </c>
      <c r="H6" s="10"/>
      <c r="I6" s="10" t="s">
        <v>3</v>
      </c>
      <c r="J6" s="10" t="s">
        <v>32</v>
      </c>
      <c r="K6" s="10">
        <f>'BOM &amp; Std price'!C31</f>
        <v>765190</v>
      </c>
      <c r="L6" s="10">
        <v>95</v>
      </c>
      <c r="M6" s="10">
        <f>'BOM &amp; Std price'!E31</f>
        <v>95</v>
      </c>
      <c r="N6" s="10">
        <f>'BOM &amp; Std price'!F31</f>
        <v>95</v>
      </c>
      <c r="O6" s="10">
        <f>'BOM &amp; Std price'!G31</f>
        <v>95</v>
      </c>
      <c r="P6" s="10">
        <f>'BOM &amp; Std price'!H31</f>
        <v>95</v>
      </c>
      <c r="Q6" s="24">
        <f>'BOM &amp; Std price'!I31</f>
        <v>95</v>
      </c>
    </row>
    <row r="7" spans="1:17" x14ac:dyDescent="0.3">
      <c r="A7" s="240"/>
      <c r="B7" s="10" t="str">
        <f t="shared" si="0"/>
        <v>RM</v>
      </c>
      <c r="C7" s="10" t="str">
        <f t="shared" si="0"/>
        <v>Biscuit</v>
      </c>
      <c r="D7" s="10">
        <f t="shared" ref="D7:F8" si="1">$L5/$K$2*D$4</f>
        <v>0</v>
      </c>
      <c r="E7" s="32">
        <f t="shared" si="1"/>
        <v>320</v>
      </c>
      <c r="F7" s="32">
        <f t="shared" si="1"/>
        <v>480</v>
      </c>
      <c r="G7" s="32">
        <f>$P5/$K$2*G$4</f>
        <v>96.960000000000008</v>
      </c>
      <c r="H7" s="10"/>
      <c r="I7" s="10"/>
      <c r="J7" s="12" t="s">
        <v>29</v>
      </c>
      <c r="K7" s="12"/>
      <c r="L7" s="12">
        <f>SUM(L4:L6)</f>
        <v>1005</v>
      </c>
      <c r="M7" s="12">
        <f>'BOM &amp; Std price'!E32</f>
        <v>1005</v>
      </c>
      <c r="N7" s="12">
        <f>'BOM &amp; Std price'!F32</f>
        <v>1005</v>
      </c>
      <c r="O7" s="12">
        <f>'BOM &amp; Std price'!G32</f>
        <v>1005</v>
      </c>
      <c r="P7" s="12">
        <f>'BOM &amp; Std price'!H32</f>
        <v>1005</v>
      </c>
      <c r="Q7" s="92">
        <f>'BOM &amp; Std price'!I32</f>
        <v>1005</v>
      </c>
    </row>
    <row r="8" spans="1:17" x14ac:dyDescent="0.3">
      <c r="A8" s="240"/>
      <c r="B8" s="10" t="str">
        <f t="shared" si="0"/>
        <v>RM</v>
      </c>
      <c r="C8" s="10" t="str">
        <f t="shared" si="0"/>
        <v>Caramel</v>
      </c>
      <c r="D8" s="10">
        <f t="shared" si="1"/>
        <v>0</v>
      </c>
      <c r="E8" s="32">
        <f t="shared" si="1"/>
        <v>95</v>
      </c>
      <c r="F8" s="32">
        <f t="shared" si="1"/>
        <v>142.5</v>
      </c>
      <c r="G8" s="32">
        <f>$P6/$K$2*G$4</f>
        <v>28.785</v>
      </c>
      <c r="H8" s="10"/>
      <c r="I8" s="10"/>
      <c r="J8" s="20" t="s">
        <v>33</v>
      </c>
      <c r="K8" s="20"/>
      <c r="L8" s="93">
        <f>L7/$K$2-1</f>
        <v>4.9999999999998934E-3</v>
      </c>
      <c r="M8" s="93">
        <f>'BOM &amp; Std price'!E33</f>
        <v>4.9999999999998934E-3</v>
      </c>
      <c r="N8" s="93">
        <f>'BOM &amp; Std price'!F33</f>
        <v>4.9999999999998934E-3</v>
      </c>
      <c r="O8" s="93">
        <f>'BOM &amp; Std price'!G33</f>
        <v>4.9999999999998934E-3</v>
      </c>
      <c r="P8" s="93">
        <f>'BOM &amp; Std price'!H33</f>
        <v>4.9999999999998934E-3</v>
      </c>
      <c r="Q8" s="94">
        <f>'BOM &amp; Std price'!I33</f>
        <v>4.9999999999998934E-3</v>
      </c>
    </row>
    <row r="9" spans="1:17" x14ac:dyDescent="0.3">
      <c r="A9" s="23"/>
      <c r="B9" s="10"/>
      <c r="C9" s="10"/>
      <c r="D9" s="10"/>
      <c r="E9" s="32"/>
      <c r="F9" s="32"/>
      <c r="G9" s="32"/>
      <c r="H9" s="10"/>
      <c r="I9" s="10"/>
      <c r="J9" s="10"/>
      <c r="K9" s="10"/>
      <c r="L9" s="10"/>
      <c r="M9" s="10"/>
      <c r="N9" s="10"/>
      <c r="O9" s="10"/>
      <c r="P9" s="10"/>
      <c r="Q9" s="24"/>
    </row>
    <row r="10" spans="1:17" x14ac:dyDescent="0.3">
      <c r="A10" s="240" t="s">
        <v>124</v>
      </c>
      <c r="B10" s="10" t="str">
        <f t="shared" ref="B10:C12" si="2">I4</f>
        <v>RM</v>
      </c>
      <c r="C10" s="10" t="str">
        <f t="shared" si="2"/>
        <v>Chocolate mass</v>
      </c>
      <c r="D10" s="10">
        <f t="shared" ref="D10:F12" si="3">M4/$K$2*D$4</f>
        <v>0</v>
      </c>
      <c r="E10" s="32">
        <f t="shared" si="3"/>
        <v>590</v>
      </c>
      <c r="F10" s="32">
        <f t="shared" si="3"/>
        <v>885</v>
      </c>
      <c r="G10" s="32">
        <f>Q4/$K$2*G$4</f>
        <v>178.76999999999998</v>
      </c>
      <c r="H10" s="10"/>
      <c r="I10" s="10"/>
      <c r="J10" s="10"/>
      <c r="K10" s="10"/>
      <c r="L10" s="10"/>
      <c r="M10" s="10"/>
      <c r="N10" s="10"/>
      <c r="O10" s="10"/>
      <c r="P10" s="10"/>
      <c r="Q10" s="24"/>
    </row>
    <row r="11" spans="1:17" x14ac:dyDescent="0.3">
      <c r="A11" s="240"/>
      <c r="B11" s="10" t="str">
        <f t="shared" si="2"/>
        <v>RM</v>
      </c>
      <c r="C11" s="10" t="str">
        <f t="shared" si="2"/>
        <v>Biscuit</v>
      </c>
      <c r="D11" s="10">
        <f t="shared" si="3"/>
        <v>0</v>
      </c>
      <c r="E11" s="32">
        <f t="shared" si="3"/>
        <v>320</v>
      </c>
      <c r="F11" s="32">
        <f t="shared" si="3"/>
        <v>480</v>
      </c>
      <c r="G11" s="32">
        <f>Q5/$K$2*G$4</f>
        <v>96.960000000000008</v>
      </c>
      <c r="H11" s="10"/>
      <c r="I11" s="10"/>
      <c r="J11" s="10"/>
      <c r="K11" s="10"/>
      <c r="L11" s="10"/>
      <c r="M11" s="10"/>
      <c r="N11" s="10"/>
      <c r="O11" s="10"/>
      <c r="P11" s="10"/>
      <c r="Q11" s="24"/>
    </row>
    <row r="12" spans="1:17" x14ac:dyDescent="0.3">
      <c r="A12" s="240"/>
      <c r="B12" s="10" t="str">
        <f t="shared" si="2"/>
        <v>RM</v>
      </c>
      <c r="C12" s="10" t="str">
        <f t="shared" si="2"/>
        <v>Caramel</v>
      </c>
      <c r="D12" s="10">
        <f t="shared" si="3"/>
        <v>0</v>
      </c>
      <c r="E12" s="32">
        <f t="shared" si="3"/>
        <v>95</v>
      </c>
      <c r="F12" s="32">
        <f t="shared" si="3"/>
        <v>142.5</v>
      </c>
      <c r="G12" s="32">
        <f>Q6/$K$2*G$4</f>
        <v>28.785</v>
      </c>
      <c r="H12" s="10"/>
      <c r="I12" s="10"/>
      <c r="J12" s="10"/>
      <c r="K12" s="10"/>
      <c r="L12" s="10"/>
      <c r="M12" s="10"/>
      <c r="N12" s="10"/>
      <c r="O12" s="10"/>
      <c r="P12" s="10"/>
      <c r="Q12" s="24"/>
    </row>
    <row r="13" spans="1:17" x14ac:dyDescent="0.3">
      <c r="A13" s="23"/>
      <c r="B13" s="10"/>
      <c r="C13" s="10"/>
      <c r="D13" s="10"/>
      <c r="E13" s="32"/>
      <c r="F13" s="32"/>
      <c r="G13" s="32"/>
      <c r="H13" s="10"/>
      <c r="I13" s="10"/>
      <c r="J13" s="12" t="s">
        <v>126</v>
      </c>
      <c r="K13" s="12" t="s">
        <v>59</v>
      </c>
      <c r="L13" s="10"/>
      <c r="M13" s="10" t="s">
        <v>77</v>
      </c>
      <c r="N13" s="10" t="s">
        <v>81</v>
      </c>
      <c r="O13" s="10" t="s">
        <v>82</v>
      </c>
      <c r="P13" s="10" t="s">
        <v>83</v>
      </c>
      <c r="Q13" s="24"/>
    </row>
    <row r="14" spans="1:17" x14ac:dyDescent="0.3">
      <c r="A14" s="240" t="s">
        <v>125</v>
      </c>
      <c r="B14" s="10" t="str">
        <f t="shared" ref="B14:C16" si="4">I4</f>
        <v>RM</v>
      </c>
      <c r="C14" s="10" t="str">
        <f t="shared" si="4"/>
        <v>Chocolate mass</v>
      </c>
      <c r="D14" s="10">
        <f>D10-D6</f>
        <v>0</v>
      </c>
      <c r="E14" s="32">
        <f>E10-E6</f>
        <v>0</v>
      </c>
      <c r="F14" s="32">
        <f>F10-F6</f>
        <v>0</v>
      </c>
      <c r="G14" s="32">
        <f>G10-G6</f>
        <v>0</v>
      </c>
      <c r="H14" s="10"/>
      <c r="I14" s="10"/>
      <c r="J14" s="10" t="str">
        <f>J4</f>
        <v>Chocolate mass</v>
      </c>
      <c r="K14" s="10">
        <v>867156</v>
      </c>
      <c r="L14" s="10"/>
      <c r="M14" s="10">
        <f>VLOOKUP($K14,'list of materials'!$A:$F,5,0)</f>
        <v>28</v>
      </c>
      <c r="N14" s="10">
        <f>VLOOKUP($K14,'list of materials'!$A:$F,5,0)</f>
        <v>28</v>
      </c>
      <c r="O14" s="10">
        <f>VLOOKUP($K14,'list of materials'!$A:$F,5,0)</f>
        <v>28</v>
      </c>
      <c r="P14" s="10">
        <f>VLOOKUP($K14,'list of materials'!$A:$F,6,0)</f>
        <v>31</v>
      </c>
      <c r="Q14" s="24"/>
    </row>
    <row r="15" spans="1:17" x14ac:dyDescent="0.3">
      <c r="A15" s="240"/>
      <c r="B15" s="10" t="str">
        <f t="shared" si="4"/>
        <v>RM</v>
      </c>
      <c r="C15" s="10" t="str">
        <f t="shared" si="4"/>
        <v>Biscuit</v>
      </c>
      <c r="D15" s="10">
        <f t="shared" ref="D15:G16" si="5">D11-D7</f>
        <v>0</v>
      </c>
      <c r="E15" s="32">
        <f t="shared" si="5"/>
        <v>0</v>
      </c>
      <c r="F15" s="32">
        <f t="shared" si="5"/>
        <v>0</v>
      </c>
      <c r="G15" s="32">
        <f t="shared" si="5"/>
        <v>0</v>
      </c>
      <c r="H15" s="10"/>
      <c r="I15" s="10"/>
      <c r="J15" s="10" t="str">
        <f>J5</f>
        <v>Biscuit</v>
      </c>
      <c r="K15" s="10">
        <v>560196</v>
      </c>
      <c r="L15" s="10"/>
      <c r="M15" s="10">
        <f>VLOOKUP($K15,'list of materials'!$A:$F,5,0)</f>
        <v>25</v>
      </c>
      <c r="N15" s="10">
        <f>VLOOKUP($K15,'list of materials'!$A:$F,5,0)</f>
        <v>25</v>
      </c>
      <c r="O15" s="10">
        <f>VLOOKUP($K15,'list of materials'!$A:$F,5,0)</f>
        <v>25</v>
      </c>
      <c r="P15" s="10">
        <f>VLOOKUP($K15,'list of materials'!$A:$F,6,0)</f>
        <v>27</v>
      </c>
      <c r="Q15" s="24"/>
    </row>
    <row r="16" spans="1:17" x14ac:dyDescent="0.3">
      <c r="A16" s="240"/>
      <c r="B16" s="10" t="str">
        <f t="shared" si="4"/>
        <v>RM</v>
      </c>
      <c r="C16" s="10" t="str">
        <f t="shared" si="4"/>
        <v>Caramel</v>
      </c>
      <c r="D16" s="10">
        <f t="shared" si="5"/>
        <v>0</v>
      </c>
      <c r="E16" s="32">
        <f t="shared" si="5"/>
        <v>0</v>
      </c>
      <c r="F16" s="32">
        <f t="shared" si="5"/>
        <v>0</v>
      </c>
      <c r="G16" s="32">
        <f t="shared" si="5"/>
        <v>0</v>
      </c>
      <c r="H16" s="10"/>
      <c r="I16" s="10"/>
      <c r="J16" s="10" t="str">
        <f>J6</f>
        <v>Caramel</v>
      </c>
      <c r="K16" s="10">
        <v>765190</v>
      </c>
      <c r="L16" s="10"/>
      <c r="M16" s="10">
        <f>VLOOKUP($K16,'list of materials'!$A:$F,5,0)</f>
        <v>15</v>
      </c>
      <c r="N16" s="10">
        <f>VLOOKUP($K16,'list of materials'!$A:$F,5,0)</f>
        <v>15</v>
      </c>
      <c r="O16" s="10">
        <f>VLOOKUP($K16,'list of materials'!$A:$F,5,0)</f>
        <v>15</v>
      </c>
      <c r="P16" s="10">
        <f>VLOOKUP($K16,'list of materials'!$A:$F,6,0)</f>
        <v>16</v>
      </c>
      <c r="Q16" s="24"/>
    </row>
    <row r="17" spans="1:17" x14ac:dyDescent="0.3">
      <c r="A17" s="23"/>
      <c r="B17" s="10"/>
      <c r="C17" s="10"/>
      <c r="D17" s="10"/>
      <c r="E17" s="32"/>
      <c r="F17" s="32"/>
      <c r="G17" s="32"/>
      <c r="H17" s="10"/>
      <c r="I17" s="10"/>
      <c r="J17" s="10"/>
      <c r="K17" s="10"/>
      <c r="L17" s="10"/>
      <c r="M17" s="10"/>
      <c r="N17" s="10"/>
      <c r="O17" s="10"/>
      <c r="P17" s="10"/>
      <c r="Q17" s="24"/>
    </row>
    <row r="18" spans="1:17" x14ac:dyDescent="0.3">
      <c r="A18" s="241" t="s">
        <v>127</v>
      </c>
      <c r="B18" s="10" t="str">
        <f t="shared" ref="B18:C20" si="6">I4</f>
        <v>RM</v>
      </c>
      <c r="C18" s="10" t="str">
        <f t="shared" si="6"/>
        <v>Chocolate mass</v>
      </c>
      <c r="D18" s="10">
        <f>D14*M14</f>
        <v>0</v>
      </c>
      <c r="E18" s="32">
        <f t="shared" ref="E18:F20" si="7">E14*N14</f>
        <v>0</v>
      </c>
      <c r="F18" s="32">
        <f t="shared" si="7"/>
        <v>0</v>
      </c>
      <c r="G18" s="32">
        <f>G14*P14</f>
        <v>0</v>
      </c>
      <c r="H18" s="10"/>
      <c r="I18" s="10"/>
      <c r="J18" s="10"/>
      <c r="K18" s="10"/>
      <c r="L18" s="10"/>
      <c r="M18" s="10"/>
      <c r="N18" s="10"/>
      <c r="O18" s="10"/>
      <c r="P18" s="10"/>
      <c r="Q18" s="24"/>
    </row>
    <row r="19" spans="1:17" x14ac:dyDescent="0.3">
      <c r="A19" s="241"/>
      <c r="B19" s="10" t="str">
        <f t="shared" si="6"/>
        <v>RM</v>
      </c>
      <c r="C19" s="10" t="str">
        <f t="shared" si="6"/>
        <v>Biscuit</v>
      </c>
      <c r="D19" s="10">
        <f>D15*M15</f>
        <v>0</v>
      </c>
      <c r="E19" s="32">
        <f t="shared" si="7"/>
        <v>0</v>
      </c>
      <c r="F19" s="32">
        <f t="shared" si="7"/>
        <v>0</v>
      </c>
      <c r="G19" s="32">
        <f>G15*P15</f>
        <v>0</v>
      </c>
      <c r="H19" s="10"/>
      <c r="I19" s="10"/>
      <c r="J19" s="10"/>
      <c r="K19" s="10"/>
      <c r="L19" s="10"/>
      <c r="M19" s="10"/>
      <c r="N19" s="10"/>
      <c r="O19" s="10"/>
      <c r="P19" s="10"/>
      <c r="Q19" s="24"/>
    </row>
    <row r="20" spans="1:17" x14ac:dyDescent="0.3">
      <c r="A20" s="241"/>
      <c r="B20" s="10" t="str">
        <f t="shared" si="6"/>
        <v>RM</v>
      </c>
      <c r="C20" s="10" t="str">
        <f t="shared" si="6"/>
        <v>Caramel</v>
      </c>
      <c r="D20" s="10">
        <f>D16*M16</f>
        <v>0</v>
      </c>
      <c r="E20" s="32">
        <f t="shared" si="7"/>
        <v>0</v>
      </c>
      <c r="F20" s="32">
        <f t="shared" si="7"/>
        <v>0</v>
      </c>
      <c r="G20" s="32">
        <f>G16*P16</f>
        <v>0</v>
      </c>
      <c r="H20" s="10"/>
      <c r="I20" s="10"/>
      <c r="J20" s="10"/>
      <c r="K20" s="10"/>
      <c r="L20" s="10"/>
      <c r="M20" s="10"/>
      <c r="N20" s="10"/>
      <c r="O20" s="10"/>
      <c r="P20" s="10"/>
      <c r="Q20" s="24"/>
    </row>
    <row r="21" spans="1:17" x14ac:dyDescent="0.3">
      <c r="A21" s="23"/>
      <c r="B21" s="10"/>
      <c r="C21" s="10"/>
      <c r="D21" s="10"/>
      <c r="E21" s="32"/>
      <c r="F21" s="32"/>
      <c r="G21" s="32"/>
      <c r="H21" s="10"/>
      <c r="I21" s="10"/>
      <c r="J21" s="10"/>
      <c r="K21" s="10"/>
      <c r="L21" s="10"/>
      <c r="M21" s="10"/>
      <c r="N21" s="10"/>
      <c r="O21" s="10"/>
      <c r="P21" s="10"/>
      <c r="Q21" s="24"/>
    </row>
    <row r="22" spans="1:17" x14ac:dyDescent="0.3">
      <c r="A22" s="23" t="s">
        <v>128</v>
      </c>
      <c r="B22" s="10" t="str">
        <f t="shared" ref="B22:C24" si="8">I4</f>
        <v>RM</v>
      </c>
      <c r="C22" s="10" t="str">
        <f t="shared" si="8"/>
        <v>Chocolate mass</v>
      </c>
      <c r="D22" s="10">
        <f>-SUMIFS(Movements!$I:$I,Movements!$A:$A,D$3,Movements!$G:$G,$A$23,Movements!$C:$C,'Formulation &amp; overusage'!$C22,Movements!$E:$E,'Formulation &amp; overusage'!$A$24)</f>
        <v>0</v>
      </c>
      <c r="E22" s="32">
        <f>-SUMIFS(Movements!$I:$I,Movements!$A:$A,E$3,Movements!$G:$G,$A$23,Movements!$C:$C,'Formulation &amp; overusage'!$C22,Movements!$E:$E,'Formulation &amp; overusage'!$A$24)</f>
        <v>590</v>
      </c>
      <c r="F22" s="32">
        <f>-SUMIFS(Movements!$I:$I,Movements!$A:$A,F$3,Movements!$G:$G,$A$23,Movements!$C:$C,'Formulation &amp; overusage'!$C22,Movements!$E:$E,'Formulation &amp; overusage'!$A$24)</f>
        <v>885</v>
      </c>
      <c r="G22" s="32">
        <f>-SUMIFS(Movements!$I:$I,Movements!$A:$A,G$3,Movements!$G:$G,$A$23,Movements!$C:$C,'Formulation &amp; overusage'!$C22,Movements!$E:$E,'Formulation &amp; overusage'!$A$24)</f>
        <v>177</v>
      </c>
      <c r="H22" s="10"/>
      <c r="I22" s="10"/>
      <c r="J22" s="10"/>
      <c r="K22" s="10"/>
      <c r="L22" s="10"/>
      <c r="M22" s="10"/>
      <c r="N22" s="10"/>
      <c r="O22" s="10"/>
      <c r="P22" s="10"/>
      <c r="Q22" s="24"/>
    </row>
    <row r="23" spans="1:17" x14ac:dyDescent="0.3">
      <c r="A23" s="23" t="s">
        <v>44</v>
      </c>
      <c r="B23" s="10" t="str">
        <f t="shared" si="8"/>
        <v>RM</v>
      </c>
      <c r="C23" s="10" t="str">
        <f t="shared" si="8"/>
        <v>Biscuit</v>
      </c>
      <c r="D23" s="10">
        <f>-SUMIFS(Movements!$I:$I,Movements!$A:$A,D$3,Movements!$G:$G,$A$23,Movements!$C:$C,'Formulation &amp; overusage'!$C23,Movements!$E:$E,'Formulation &amp; overusage'!$A$24)</f>
        <v>0</v>
      </c>
      <c r="E23" s="32">
        <f>-SUMIFS(Movements!$I:$I,Movements!$A:$A,E$3,Movements!$G:$G,$A$23,Movements!$C:$C,'Formulation &amp; overusage'!$C23,Movements!$E:$E,'Formulation &amp; overusage'!$A$24)</f>
        <v>320</v>
      </c>
      <c r="F23" s="32">
        <f>-SUMIFS(Movements!$I:$I,Movements!$A:$A,F$3,Movements!$G:$G,$A$23,Movements!$C:$C,'Formulation &amp; overusage'!$C23,Movements!$E:$E,'Formulation &amp; overusage'!$A$24)</f>
        <v>480</v>
      </c>
      <c r="G23" s="32">
        <f>-SUMIFS(Movements!$I:$I,Movements!$A:$A,G$3,Movements!$G:$G,$A$23,Movements!$C:$C,'Formulation &amp; overusage'!$C23,Movements!$E:$E,'Formulation &amp; overusage'!$A$24)</f>
        <v>96</v>
      </c>
      <c r="H23" s="10"/>
      <c r="I23" s="10"/>
      <c r="J23" s="10"/>
      <c r="K23" s="10"/>
      <c r="L23" s="10"/>
      <c r="M23" s="10"/>
      <c r="N23" s="10"/>
      <c r="O23" s="10"/>
      <c r="P23" s="10"/>
      <c r="Q23" s="24"/>
    </row>
    <row r="24" spans="1:17" x14ac:dyDescent="0.3">
      <c r="A24" s="23" t="s">
        <v>67</v>
      </c>
      <c r="B24" s="10" t="str">
        <f t="shared" si="8"/>
        <v>RM</v>
      </c>
      <c r="C24" s="10" t="str">
        <f t="shared" si="8"/>
        <v>Caramel</v>
      </c>
      <c r="D24" s="10">
        <f>-SUMIFS(Movements!$I:$I,Movements!$A:$A,D$3,Movements!$G:$G,$A$23,Movements!$C:$C,'Formulation &amp; overusage'!$C24,Movements!$E:$E,'Formulation &amp; overusage'!$A$24)</f>
        <v>0</v>
      </c>
      <c r="E24" s="32">
        <f>-SUMIFS(Movements!$I:$I,Movements!$A:$A,E$3,Movements!$G:$G,$A$23,Movements!$C:$C,'Formulation &amp; overusage'!$C24,Movements!$E:$E,'Formulation &amp; overusage'!$A$24)</f>
        <v>95</v>
      </c>
      <c r="F24" s="32">
        <f>-SUMIFS(Movements!$I:$I,Movements!$A:$A,F$3,Movements!$G:$G,$A$23,Movements!$C:$C,'Formulation &amp; overusage'!$C24,Movements!$E:$E,'Formulation &amp; overusage'!$A$24)</f>
        <v>142.5</v>
      </c>
      <c r="G24" s="32">
        <f>-SUMIFS(Movements!$I:$I,Movements!$A:$A,G$3,Movements!$G:$G,$A$23,Movements!$C:$C,'Formulation &amp; overusage'!$C24,Movements!$E:$E,'Formulation &amp; overusage'!$A$24)</f>
        <v>28.5</v>
      </c>
      <c r="H24" s="10"/>
      <c r="I24" s="10"/>
      <c r="J24" s="10"/>
      <c r="K24" s="10"/>
      <c r="L24" s="10"/>
      <c r="M24" s="10"/>
      <c r="N24" s="10"/>
      <c r="O24" s="10"/>
      <c r="P24" s="10"/>
      <c r="Q24" s="24"/>
    </row>
    <row r="25" spans="1:17" x14ac:dyDescent="0.3">
      <c r="A25" s="23"/>
      <c r="B25" s="10"/>
      <c r="C25" s="10"/>
      <c r="D25" s="10"/>
      <c r="E25" s="32"/>
      <c r="F25" s="32"/>
      <c r="G25" s="32"/>
      <c r="H25" s="10"/>
      <c r="I25" s="10"/>
      <c r="J25" s="10"/>
      <c r="K25" s="10"/>
      <c r="L25" s="10"/>
      <c r="M25" s="10"/>
      <c r="N25" s="10"/>
      <c r="O25" s="10"/>
      <c r="P25" s="10"/>
      <c r="Q25" s="24"/>
    </row>
    <row r="26" spans="1:17" x14ac:dyDescent="0.3">
      <c r="A26" s="241" t="s">
        <v>131</v>
      </c>
      <c r="B26" s="10" t="str">
        <f t="shared" ref="B26:C28" si="9">I4</f>
        <v>RM</v>
      </c>
      <c r="C26" s="10" t="str">
        <f t="shared" si="9"/>
        <v>Chocolate mass</v>
      </c>
      <c r="D26" s="10">
        <f>D22-D10</f>
        <v>0</v>
      </c>
      <c r="E26" s="32">
        <f>E22-E10</f>
        <v>0</v>
      </c>
      <c r="F26" s="32">
        <f>F22-F10</f>
        <v>0</v>
      </c>
      <c r="G26" s="32">
        <f>G22-G10</f>
        <v>-1.7699999999999818</v>
      </c>
      <c r="H26" s="10"/>
      <c r="I26" s="10"/>
      <c r="J26" s="10"/>
      <c r="K26" s="10"/>
      <c r="L26" s="10"/>
      <c r="M26" s="10"/>
      <c r="N26" s="10"/>
      <c r="O26" s="10"/>
      <c r="P26" s="10"/>
      <c r="Q26" s="24"/>
    </row>
    <row r="27" spans="1:17" x14ac:dyDescent="0.3">
      <c r="A27" s="241"/>
      <c r="B27" s="10" t="str">
        <f t="shared" si="9"/>
        <v>RM</v>
      </c>
      <c r="C27" s="10" t="str">
        <f t="shared" si="9"/>
        <v>Biscuit</v>
      </c>
      <c r="D27" s="10">
        <f t="shared" ref="D27:G28" si="10">D23-D11</f>
        <v>0</v>
      </c>
      <c r="E27" s="32">
        <f t="shared" si="10"/>
        <v>0</v>
      </c>
      <c r="F27" s="32">
        <f t="shared" si="10"/>
        <v>0</v>
      </c>
      <c r="G27" s="32">
        <f t="shared" si="10"/>
        <v>-0.96000000000000796</v>
      </c>
      <c r="H27" s="10"/>
      <c r="I27" s="10"/>
      <c r="J27" s="10"/>
      <c r="K27" s="10"/>
      <c r="L27" s="10"/>
      <c r="M27" s="10"/>
      <c r="N27" s="10"/>
      <c r="O27" s="10"/>
      <c r="P27" s="10"/>
      <c r="Q27" s="24"/>
    </row>
    <row r="28" spans="1:17" x14ac:dyDescent="0.3">
      <c r="A28" s="241"/>
      <c r="B28" s="10" t="str">
        <f t="shared" si="9"/>
        <v>RM</v>
      </c>
      <c r="C28" s="10" t="str">
        <f t="shared" si="9"/>
        <v>Caramel</v>
      </c>
      <c r="D28" s="10">
        <f t="shared" si="10"/>
        <v>0</v>
      </c>
      <c r="E28" s="32">
        <f t="shared" si="10"/>
        <v>0</v>
      </c>
      <c r="F28" s="32">
        <f t="shared" si="10"/>
        <v>0</v>
      </c>
      <c r="G28" s="32">
        <f t="shared" si="10"/>
        <v>-0.28500000000000014</v>
      </c>
      <c r="H28" s="10"/>
      <c r="I28" s="10"/>
      <c r="J28" s="10"/>
      <c r="K28" s="10"/>
      <c r="L28" s="10"/>
      <c r="M28" s="10"/>
      <c r="N28" s="10"/>
      <c r="O28" s="10"/>
      <c r="P28" s="10"/>
      <c r="Q28" s="24"/>
    </row>
    <row r="29" spans="1:17" x14ac:dyDescent="0.3">
      <c r="A29" s="23"/>
      <c r="B29" s="10"/>
      <c r="C29" s="10"/>
      <c r="D29" s="10"/>
      <c r="E29" s="32"/>
      <c r="F29" s="32"/>
      <c r="G29" s="32"/>
      <c r="H29" s="10"/>
      <c r="I29" s="10"/>
      <c r="J29" s="10"/>
      <c r="K29" s="10"/>
      <c r="L29" s="10"/>
      <c r="M29" s="10"/>
      <c r="N29" s="10"/>
      <c r="O29" s="10"/>
      <c r="P29" s="10"/>
      <c r="Q29" s="24"/>
    </row>
    <row r="30" spans="1:17" x14ac:dyDescent="0.3">
      <c r="A30" s="241" t="s">
        <v>130</v>
      </c>
      <c r="B30" s="10" t="str">
        <f t="shared" ref="B30:C32" si="11">I4</f>
        <v>RM</v>
      </c>
      <c r="C30" s="10" t="str">
        <f t="shared" si="11"/>
        <v>Chocolate mass</v>
      </c>
      <c r="D30" s="10">
        <f t="shared" ref="D30:G32" si="12">D26*M14</f>
        <v>0</v>
      </c>
      <c r="E30" s="32">
        <f t="shared" si="12"/>
        <v>0</v>
      </c>
      <c r="F30" s="32">
        <f t="shared" si="12"/>
        <v>0</v>
      </c>
      <c r="G30" s="32">
        <f t="shared" si="12"/>
        <v>-54.869999999999436</v>
      </c>
      <c r="H30" s="10"/>
      <c r="I30" s="10"/>
      <c r="J30" s="10"/>
      <c r="K30" s="10"/>
      <c r="L30" s="10"/>
      <c r="M30" s="10"/>
      <c r="N30" s="10"/>
      <c r="O30" s="10"/>
      <c r="P30" s="10"/>
      <c r="Q30" s="24"/>
    </row>
    <row r="31" spans="1:17" x14ac:dyDescent="0.3">
      <c r="A31" s="241"/>
      <c r="B31" s="10" t="str">
        <f t="shared" si="11"/>
        <v>RM</v>
      </c>
      <c r="C31" s="10" t="str">
        <f t="shared" si="11"/>
        <v>Biscuit</v>
      </c>
      <c r="D31" s="10">
        <f t="shared" si="12"/>
        <v>0</v>
      </c>
      <c r="E31" s="32">
        <f t="shared" si="12"/>
        <v>0</v>
      </c>
      <c r="F31" s="32">
        <f t="shared" si="12"/>
        <v>0</v>
      </c>
      <c r="G31" s="32">
        <f t="shared" si="12"/>
        <v>-25.920000000000215</v>
      </c>
      <c r="H31" s="10"/>
      <c r="I31" s="10"/>
      <c r="J31" s="10"/>
      <c r="K31" s="10"/>
      <c r="L31" s="10"/>
      <c r="M31" s="10"/>
      <c r="N31" s="10"/>
      <c r="O31" s="10"/>
      <c r="P31" s="10"/>
      <c r="Q31" s="24"/>
    </row>
    <row r="32" spans="1:17" ht="15" thickBot="1" x14ac:dyDescent="0.35">
      <c r="A32" s="242"/>
      <c r="B32" s="27" t="str">
        <f t="shared" si="11"/>
        <v>RM</v>
      </c>
      <c r="C32" s="27" t="str">
        <f t="shared" si="11"/>
        <v>Caramel</v>
      </c>
      <c r="D32" s="27">
        <f t="shared" si="12"/>
        <v>0</v>
      </c>
      <c r="E32" s="28">
        <f t="shared" si="12"/>
        <v>0</v>
      </c>
      <c r="F32" s="28">
        <f t="shared" si="12"/>
        <v>0</v>
      </c>
      <c r="G32" s="28">
        <f t="shared" si="12"/>
        <v>-4.5600000000000023</v>
      </c>
      <c r="H32" s="27"/>
      <c r="I32" s="27"/>
      <c r="J32" s="27"/>
      <c r="K32" s="27"/>
      <c r="L32" s="27"/>
      <c r="M32" s="27"/>
      <c r="N32" s="27"/>
      <c r="O32" s="27"/>
      <c r="P32" s="27"/>
      <c r="Q32" s="95"/>
    </row>
    <row r="33" spans="1:17" ht="15" thickBot="1" x14ac:dyDescent="0.35"/>
    <row r="34" spans="1:17" x14ac:dyDescent="0.3">
      <c r="A34" s="21"/>
      <c r="B34" s="22"/>
      <c r="C34" s="1" t="s">
        <v>14</v>
      </c>
      <c r="D34" s="22"/>
      <c r="E34" s="22"/>
      <c r="F34" s="22"/>
      <c r="G34" s="22"/>
      <c r="H34" s="22"/>
      <c r="I34" s="22"/>
      <c r="J34" s="22" t="s">
        <v>122</v>
      </c>
      <c r="K34" s="22">
        <v>1000</v>
      </c>
      <c r="L34" s="22" t="s">
        <v>16</v>
      </c>
      <c r="M34" s="22"/>
      <c r="N34" s="22"/>
      <c r="O34" s="22"/>
      <c r="P34" s="22"/>
      <c r="Q34" s="91"/>
    </row>
    <row r="35" spans="1:17" x14ac:dyDescent="0.3">
      <c r="A35" s="23"/>
      <c r="B35" s="10"/>
      <c r="C35" s="10"/>
      <c r="D35" s="29" t="s">
        <v>77</v>
      </c>
      <c r="E35" s="29" t="s">
        <v>81</v>
      </c>
      <c r="F35" s="29" t="s">
        <v>82</v>
      </c>
      <c r="G35" s="29" t="s">
        <v>83</v>
      </c>
      <c r="H35" s="10"/>
      <c r="I35" s="12" t="s">
        <v>15</v>
      </c>
      <c r="J35" s="12" t="s">
        <v>27</v>
      </c>
      <c r="K35" s="12" t="s">
        <v>59</v>
      </c>
      <c r="L35" s="12" t="str">
        <f>'BOM &amp; Std price'!D17</f>
        <v>Std'22</v>
      </c>
      <c r="M35" s="29" t="str">
        <f>'BOM &amp; Std price'!E17</f>
        <v>Oct act</v>
      </c>
      <c r="N35" s="29" t="str">
        <f>'BOM &amp; Std price'!F17</f>
        <v>Nov act</v>
      </c>
      <c r="O35" s="29" t="str">
        <f>'BOM &amp; Std price'!G17</f>
        <v>Dec act</v>
      </c>
      <c r="P35" s="12" t="str">
        <f>'BOM &amp; Std price'!H17</f>
        <v>Std'23</v>
      </c>
      <c r="Q35" s="96" t="str">
        <f>'BOM &amp; Std price'!I17</f>
        <v>Jan act</v>
      </c>
    </row>
    <row r="36" spans="1:17" x14ac:dyDescent="0.3">
      <c r="A36" s="23" t="s">
        <v>52</v>
      </c>
      <c r="B36" s="10"/>
      <c r="C36" s="10" t="s">
        <v>121</v>
      </c>
      <c r="D36" s="10">
        <f>SUMIFS(Movements!$I:$I,Movements!$G:$G,$A36,Movements!$A:$A,D$3,Movements!$C:$C,'Formulation &amp; overusage'!$C$34)</f>
        <v>0</v>
      </c>
      <c r="E36" s="10">
        <f>SUMIFS(Movements!$I:$I,Movements!$G:$G,$A36,Movements!$A:$A,E$3,Movements!$C:$C,'Formulation &amp; overusage'!$C$34)</f>
        <v>110</v>
      </c>
      <c r="F36" s="10">
        <f>SUMIFS(Movements!$I:$I,Movements!$G:$G,$A36,Movements!$A:$A,F$3,Movements!$C:$C,'Formulation &amp; overusage'!$C$34)</f>
        <v>205.05</v>
      </c>
      <c r="G36" s="10">
        <f>SUMIFS(Movements!$I:$I,Movements!$G:$G,$A36,Movements!$A:$A,G$3,Movements!$C:$C,'Formulation &amp; overusage'!$C$34)</f>
        <v>100</v>
      </c>
      <c r="H36" s="10"/>
      <c r="I36" s="10" t="s">
        <v>3</v>
      </c>
      <c r="J36" s="10" t="s">
        <v>30</v>
      </c>
      <c r="K36" s="10">
        <f>'BOM &amp; Std price'!C18</f>
        <v>657341</v>
      </c>
      <c r="L36" s="10">
        <f>'BOM &amp; Std price'!D18</f>
        <v>1150</v>
      </c>
      <c r="M36" s="10">
        <f>'BOM &amp; Std price'!E18</f>
        <v>1150</v>
      </c>
      <c r="N36" s="10">
        <f>'BOM &amp; Std price'!F18</f>
        <v>1150</v>
      </c>
      <c r="O36" s="10">
        <f>'BOM &amp; Std price'!G18</f>
        <v>1150</v>
      </c>
      <c r="P36" s="10">
        <f>'BOM &amp; Std price'!H18</f>
        <v>1150</v>
      </c>
      <c r="Q36" s="24">
        <f>'BOM &amp; Std price'!I18</f>
        <v>1150</v>
      </c>
    </row>
    <row r="37" spans="1:17" x14ac:dyDescent="0.3">
      <c r="A37" s="23"/>
      <c r="B37" s="10"/>
      <c r="C37" s="10"/>
      <c r="D37" s="10"/>
      <c r="E37" s="10"/>
      <c r="F37" s="10"/>
      <c r="G37" s="10"/>
      <c r="H37" s="10"/>
      <c r="I37" s="10"/>
      <c r="J37" s="12" t="s">
        <v>29</v>
      </c>
      <c r="K37" s="12"/>
      <c r="L37" s="12">
        <f>'BOM &amp; Std price'!D19</f>
        <v>1150</v>
      </c>
      <c r="M37" s="12">
        <f>'BOM &amp; Std price'!E19</f>
        <v>1150</v>
      </c>
      <c r="N37" s="12">
        <f>'BOM &amp; Std price'!F19</f>
        <v>1150</v>
      </c>
      <c r="O37" s="12">
        <f>'BOM &amp; Std price'!G19</f>
        <v>1150</v>
      </c>
      <c r="P37" s="12">
        <f>'BOM &amp; Std price'!H19</f>
        <v>1150</v>
      </c>
      <c r="Q37" s="92">
        <f>'BOM &amp; Std price'!I19</f>
        <v>1150</v>
      </c>
    </row>
    <row r="38" spans="1:17" x14ac:dyDescent="0.3">
      <c r="A38" s="97" t="s">
        <v>123</v>
      </c>
      <c r="B38" s="10" t="str">
        <f>I36</f>
        <v>RM</v>
      </c>
      <c r="C38" s="10" t="str">
        <f>J36</f>
        <v>Raw Peanut</v>
      </c>
      <c r="D38" s="10">
        <f>$L36/$K$34*D$36</f>
        <v>0</v>
      </c>
      <c r="E38" s="10">
        <f>$L36/$K$34*E$36</f>
        <v>126.49999999999999</v>
      </c>
      <c r="F38" s="10">
        <f>$L36/$K$34*F$36</f>
        <v>235.8075</v>
      </c>
      <c r="G38" s="10">
        <f>$P36/$K$34*G$36</f>
        <v>114.99999999999999</v>
      </c>
      <c r="H38" s="10"/>
      <c r="I38" s="10"/>
      <c r="J38" s="20" t="s">
        <v>33</v>
      </c>
      <c r="K38" s="20"/>
      <c r="L38" s="93">
        <f t="shared" ref="L38:Q38" si="13">L37/$K$34-1</f>
        <v>0.14999999999999991</v>
      </c>
      <c r="M38" s="93">
        <f t="shared" si="13"/>
        <v>0.14999999999999991</v>
      </c>
      <c r="N38" s="93">
        <f t="shared" si="13"/>
        <v>0.14999999999999991</v>
      </c>
      <c r="O38" s="93">
        <f t="shared" si="13"/>
        <v>0.14999999999999991</v>
      </c>
      <c r="P38" s="93">
        <f t="shared" si="13"/>
        <v>0.14999999999999991</v>
      </c>
      <c r="Q38" s="94">
        <f t="shared" si="13"/>
        <v>0.14999999999999991</v>
      </c>
    </row>
    <row r="39" spans="1:17" x14ac:dyDescent="0.3">
      <c r="A39" s="23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24"/>
    </row>
    <row r="40" spans="1:17" x14ac:dyDescent="0.3">
      <c r="A40" s="97" t="s">
        <v>124</v>
      </c>
      <c r="B40" s="10" t="str">
        <f>I36</f>
        <v>RM</v>
      </c>
      <c r="C40" s="10" t="str">
        <f>J36</f>
        <v>Raw Peanut</v>
      </c>
      <c r="D40" s="10">
        <f>M36/$K$34*D$36</f>
        <v>0</v>
      </c>
      <c r="E40" s="10">
        <f>N36/$K$34*E$36</f>
        <v>126.49999999999999</v>
      </c>
      <c r="F40" s="10">
        <f>O36/$K$34*F$36</f>
        <v>235.8075</v>
      </c>
      <c r="G40" s="10">
        <f>Q36/$K$34*G$36</f>
        <v>114.99999999999999</v>
      </c>
      <c r="H40" s="10"/>
      <c r="I40" s="10"/>
      <c r="J40" s="12" t="s">
        <v>126</v>
      </c>
      <c r="K40" s="10"/>
      <c r="L40" s="10"/>
      <c r="M40" s="10" t="s">
        <v>77</v>
      </c>
      <c r="N40" s="10" t="s">
        <v>81</v>
      </c>
      <c r="O40" s="10" t="s">
        <v>82</v>
      </c>
      <c r="P40" s="10" t="s">
        <v>83</v>
      </c>
      <c r="Q40" s="24"/>
    </row>
    <row r="41" spans="1:17" x14ac:dyDescent="0.3">
      <c r="A41" s="23"/>
      <c r="B41" s="10"/>
      <c r="C41" s="10"/>
      <c r="D41" s="10"/>
      <c r="E41" s="10"/>
      <c r="F41" s="10"/>
      <c r="G41" s="10"/>
      <c r="H41" s="10"/>
      <c r="I41" s="10"/>
      <c r="J41" s="10" t="str">
        <f>J36</f>
        <v>Raw Peanut</v>
      </c>
      <c r="K41" s="10">
        <f>K36</f>
        <v>657341</v>
      </c>
      <c r="L41" s="10"/>
      <c r="M41" s="10">
        <f>VLOOKUP($K41,'list of materials'!$A:$F,5,0)</f>
        <v>25</v>
      </c>
      <c r="N41" s="10">
        <f>VLOOKUP($K41,'list of materials'!$A:$F,5,0)</f>
        <v>25</v>
      </c>
      <c r="O41" s="10">
        <f>VLOOKUP($K41,'list of materials'!$A:$F,5,0)</f>
        <v>25</v>
      </c>
      <c r="P41" s="10">
        <f>VLOOKUP($K41,'list of materials'!$A:$F,6,0)</f>
        <v>24</v>
      </c>
      <c r="Q41" s="24"/>
    </row>
    <row r="42" spans="1:17" x14ac:dyDescent="0.3">
      <c r="A42" s="97" t="s">
        <v>125</v>
      </c>
      <c r="B42" s="10" t="str">
        <f>I36</f>
        <v>RM</v>
      </c>
      <c r="C42" s="10" t="str">
        <f>J36</f>
        <v>Raw Peanut</v>
      </c>
      <c r="D42" s="10">
        <f>D40-D38</f>
        <v>0</v>
      </c>
      <c r="E42" s="10">
        <f>E40-E38</f>
        <v>0</v>
      </c>
      <c r="F42" s="10">
        <f>F40-F38</f>
        <v>0</v>
      </c>
      <c r="G42" s="10">
        <f>G40-G38</f>
        <v>0</v>
      </c>
      <c r="H42" s="10"/>
      <c r="I42" s="10"/>
      <c r="J42" s="10"/>
      <c r="K42" s="10"/>
      <c r="L42" s="10"/>
      <c r="M42" s="10"/>
      <c r="N42" s="10"/>
      <c r="O42" s="10"/>
      <c r="P42" s="10"/>
      <c r="Q42" s="24"/>
    </row>
    <row r="43" spans="1:17" x14ac:dyDescent="0.3">
      <c r="A43" s="23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24"/>
    </row>
    <row r="44" spans="1:17" x14ac:dyDescent="0.3">
      <c r="A44" s="98" t="s">
        <v>127</v>
      </c>
      <c r="B44" s="10" t="str">
        <f>I36</f>
        <v>RM</v>
      </c>
      <c r="C44" s="10" t="str">
        <f>J36</f>
        <v>Raw Peanut</v>
      </c>
      <c r="D44" s="10">
        <f>D42*M41</f>
        <v>0</v>
      </c>
      <c r="E44" s="10">
        <f>E42*N41</f>
        <v>0</v>
      </c>
      <c r="F44" s="10">
        <f>F42*O41</f>
        <v>0</v>
      </c>
      <c r="G44" s="10">
        <f>G42*P41</f>
        <v>0</v>
      </c>
      <c r="H44" s="10"/>
      <c r="I44" s="10"/>
      <c r="J44" s="10"/>
      <c r="K44" s="10"/>
      <c r="L44" s="10"/>
      <c r="M44" s="10"/>
      <c r="N44" s="10"/>
      <c r="O44" s="10"/>
      <c r="P44" s="10"/>
      <c r="Q44" s="24"/>
    </row>
    <row r="45" spans="1:17" x14ac:dyDescent="0.3">
      <c r="A45" s="23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24"/>
    </row>
    <row r="46" spans="1:17" x14ac:dyDescent="0.3">
      <c r="A46" s="23" t="s">
        <v>128</v>
      </c>
      <c r="B46" s="10" t="str">
        <f>I36</f>
        <v>RM</v>
      </c>
      <c r="C46" s="10" t="str">
        <f>J36</f>
        <v>Raw Peanut</v>
      </c>
      <c r="D46" s="70">
        <f>-SUMIFS(Movements!$I:$I,Movements!$A:$A,D$35,Movements!$G:$G,$A$47,Movements!$C:$C,'Formulation &amp; overusage'!$C46,Movements!$E:$E,'Formulation &amp; overusage'!$A$48)</f>
        <v>0</v>
      </c>
      <c r="E46" s="70">
        <f>-SUMIFS(Movements!$I:$I,Movements!$A:$A,E$35,Movements!$G:$G,$A$47,Movements!$C:$C,'Formulation &amp; overusage'!$C46,Movements!$E:$E,'Formulation &amp; overusage'!$A$48)</f>
        <v>120.6925</v>
      </c>
      <c r="F46" s="70">
        <f>-SUMIFS(Movements!$I:$I,Movements!$A:$A,F$35,Movements!$G:$G,$A$47,Movements!$C:$C,'Formulation &amp; overusage'!$C46,Movements!$E:$E,'Formulation &amp; overusage'!$A$48)</f>
        <v>235.8075</v>
      </c>
      <c r="G46" s="70">
        <f>-SUMIFS(Movements!$I:$I,Movements!$A:$A,G$35,Movements!$G:$G,$A$47,Movements!$C:$C,'Formulation &amp; overusage'!$C46,Movements!$E:$E,'Formulation &amp; overusage'!$A$48)</f>
        <v>115</v>
      </c>
      <c r="H46" s="10"/>
      <c r="I46" s="10"/>
      <c r="J46" s="10"/>
      <c r="K46" s="10"/>
      <c r="L46" s="10"/>
      <c r="M46" s="10"/>
      <c r="N46" s="10"/>
      <c r="O46" s="10"/>
      <c r="P46" s="10"/>
      <c r="Q46" s="24"/>
    </row>
    <row r="47" spans="1:17" x14ac:dyDescent="0.3">
      <c r="A47" s="23" t="s">
        <v>44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24"/>
    </row>
    <row r="48" spans="1:17" x14ac:dyDescent="0.3">
      <c r="A48" s="23" t="s">
        <v>63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24"/>
    </row>
    <row r="49" spans="1:17" x14ac:dyDescent="0.3">
      <c r="A49" s="23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24"/>
    </row>
    <row r="50" spans="1:17" x14ac:dyDescent="0.3">
      <c r="A50" s="98" t="s">
        <v>131</v>
      </c>
      <c r="B50" s="10" t="str">
        <f>I36</f>
        <v>RM</v>
      </c>
      <c r="C50" s="10" t="str">
        <f>J36</f>
        <v>Raw Peanut</v>
      </c>
      <c r="D50" s="70">
        <f>D46-D40</f>
        <v>0</v>
      </c>
      <c r="E50" s="70">
        <f>E46-E40</f>
        <v>-5.8074999999999903</v>
      </c>
      <c r="F50" s="70">
        <f>F46-F40</f>
        <v>0</v>
      </c>
      <c r="G50" s="70">
        <f>G46-G40</f>
        <v>0</v>
      </c>
      <c r="H50" s="10"/>
      <c r="I50" s="10"/>
      <c r="J50" s="10"/>
      <c r="K50" s="10"/>
      <c r="L50" s="10"/>
      <c r="M50" s="10"/>
      <c r="N50" s="10"/>
      <c r="O50" s="10"/>
      <c r="P50" s="10"/>
      <c r="Q50" s="24"/>
    </row>
    <row r="51" spans="1:17" x14ac:dyDescent="0.3">
      <c r="A51" s="23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24"/>
    </row>
    <row r="52" spans="1:17" ht="15" thickBot="1" x14ac:dyDescent="0.35">
      <c r="A52" s="99" t="s">
        <v>130</v>
      </c>
      <c r="B52" s="27" t="str">
        <f>I36</f>
        <v>RM</v>
      </c>
      <c r="C52" s="27" t="str">
        <f>J36</f>
        <v>Raw Peanut</v>
      </c>
      <c r="D52" s="100">
        <f>D50*M41</f>
        <v>0</v>
      </c>
      <c r="E52" s="100">
        <f>E50*N41</f>
        <v>-145.18749999999977</v>
      </c>
      <c r="F52" s="100">
        <f>F50*O41</f>
        <v>0</v>
      </c>
      <c r="G52" s="100">
        <f>G50*P41</f>
        <v>0</v>
      </c>
      <c r="H52" s="27"/>
      <c r="I52" s="27"/>
      <c r="J52" s="27"/>
      <c r="K52" s="27"/>
      <c r="L52" s="27"/>
      <c r="M52" s="27"/>
      <c r="N52" s="27"/>
      <c r="O52" s="27"/>
      <c r="P52" s="27"/>
      <c r="Q52" s="95"/>
    </row>
    <row r="53" spans="1:17" ht="15" thickBot="1" x14ac:dyDescent="0.35"/>
    <row r="54" spans="1:17" x14ac:dyDescent="0.3">
      <c r="A54" s="21"/>
      <c r="B54" s="22"/>
      <c r="C54" s="1" t="s">
        <v>42</v>
      </c>
      <c r="D54" s="22"/>
      <c r="E54" s="22"/>
      <c r="F54" s="22"/>
      <c r="G54" s="22"/>
      <c r="H54" s="22"/>
      <c r="I54" s="22"/>
      <c r="J54" s="22" t="s">
        <v>122</v>
      </c>
      <c r="K54" s="22">
        <v>1000</v>
      </c>
      <c r="L54" s="22" t="s">
        <v>16</v>
      </c>
      <c r="M54" s="22"/>
      <c r="N54" s="22"/>
      <c r="O54" s="22"/>
      <c r="P54" s="22"/>
      <c r="Q54" s="91"/>
    </row>
    <row r="55" spans="1:17" x14ac:dyDescent="0.3">
      <c r="A55" s="23"/>
      <c r="B55" s="10"/>
      <c r="C55" s="10"/>
      <c r="D55" s="29" t="s">
        <v>77</v>
      </c>
      <c r="E55" s="29" t="s">
        <v>81</v>
      </c>
      <c r="F55" s="29" t="s">
        <v>82</v>
      </c>
      <c r="G55" s="29" t="s">
        <v>83</v>
      </c>
      <c r="H55" s="10"/>
      <c r="I55" s="12" t="s">
        <v>15</v>
      </c>
      <c r="J55" s="12" t="s">
        <v>27</v>
      </c>
      <c r="K55" s="12" t="s">
        <v>59</v>
      </c>
      <c r="L55" s="12" t="str">
        <f>'BOM &amp; Std price'!D6</f>
        <v>Std'22</v>
      </c>
      <c r="M55" s="12" t="str">
        <f>'BOM &amp; Std price'!E6</f>
        <v>Oct act</v>
      </c>
      <c r="N55" s="12" t="str">
        <f>'BOM &amp; Std price'!F6</f>
        <v>Nov act</v>
      </c>
      <c r="O55" s="12" t="str">
        <f>'BOM &amp; Std price'!G6</f>
        <v>Dec act</v>
      </c>
      <c r="P55" s="12" t="str">
        <f>'BOM &amp; Std price'!H6</f>
        <v>Std'23</v>
      </c>
      <c r="Q55" s="92" t="str">
        <f>'BOM &amp; Std price'!I6</f>
        <v>Jan act</v>
      </c>
    </row>
    <row r="56" spans="1:17" x14ac:dyDescent="0.3">
      <c r="A56" s="23" t="s">
        <v>52</v>
      </c>
      <c r="B56" s="10"/>
      <c r="C56" s="10" t="s">
        <v>121</v>
      </c>
      <c r="D56" s="10">
        <f>SUMIFS(Movements!$I:$I,Movements!$G:$G,$A56,Movements!$A:$A,D$55,Movements!$C:$C,'Formulation &amp; overusage'!$C$54)</f>
        <v>0</v>
      </c>
      <c r="E56" s="10">
        <f>SUMIFS(Movements!$I:$I,Movements!$G:$G,$A56,Movements!$A:$A,E$55,Movements!$C:$C,'Formulation &amp; overusage'!$C$54)</f>
        <v>510</v>
      </c>
      <c r="F56" s="10">
        <f>SUMIFS(Movements!$I:$I,Movements!$G:$G,$A56,Movements!$A:$A,F$55,Movements!$C:$C,'Formulation &amp; overusage'!$C$54)</f>
        <v>800</v>
      </c>
      <c r="G56" s="10">
        <f>SUMIFS(Movements!$I:$I,Movements!$G:$G,$A56,Movements!$A:$A,G$55,Movements!$C:$C,'Formulation &amp; overusage'!$C$54)</f>
        <v>700</v>
      </c>
      <c r="H56" s="10"/>
      <c r="I56" s="10" t="s">
        <v>3</v>
      </c>
      <c r="J56" s="10" t="s">
        <v>12</v>
      </c>
      <c r="K56" s="10">
        <f>'BOM &amp; Std price'!C7</f>
        <v>867156</v>
      </c>
      <c r="L56" s="10">
        <f>'BOM &amp; Std price'!D7</f>
        <v>708</v>
      </c>
      <c r="M56" s="10">
        <f>'BOM &amp; Std price'!E7</f>
        <v>708</v>
      </c>
      <c r="N56" s="10">
        <f>'BOM &amp; Std price'!F7</f>
        <v>711</v>
      </c>
      <c r="O56" s="10">
        <f>'BOM &amp; Std price'!G7</f>
        <v>711</v>
      </c>
      <c r="P56" s="10">
        <f>'BOM &amp; Std price'!H7</f>
        <v>711</v>
      </c>
      <c r="Q56" s="24">
        <f>'BOM &amp; Std price'!I7</f>
        <v>708</v>
      </c>
    </row>
    <row r="57" spans="1:17" x14ac:dyDescent="0.3">
      <c r="A57" s="23"/>
      <c r="B57" s="10"/>
      <c r="C57" s="10"/>
      <c r="D57" s="10"/>
      <c r="E57" s="10"/>
      <c r="F57" s="10"/>
      <c r="G57" s="10"/>
      <c r="H57" s="10"/>
      <c r="I57" s="10" t="s">
        <v>4</v>
      </c>
      <c r="J57" s="10" t="s">
        <v>14</v>
      </c>
      <c r="K57" s="10">
        <f>'BOM &amp; Std price'!C8</f>
        <v>876145</v>
      </c>
      <c r="L57" s="10">
        <f>'BOM &amp; Std price'!D8</f>
        <v>205</v>
      </c>
      <c r="M57" s="10">
        <f>'BOM &amp; Std price'!E8</f>
        <v>205</v>
      </c>
      <c r="N57" s="10">
        <f>'BOM &amp; Std price'!F8</f>
        <v>203</v>
      </c>
      <c r="O57" s="10">
        <f>'BOM &amp; Std price'!G8</f>
        <v>203</v>
      </c>
      <c r="P57" s="10">
        <f>'BOM &amp; Std price'!H8</f>
        <v>203</v>
      </c>
      <c r="Q57" s="24">
        <f>'BOM &amp; Std price'!I8</f>
        <v>205</v>
      </c>
    </row>
    <row r="58" spans="1:17" x14ac:dyDescent="0.3">
      <c r="A58" s="240" t="s">
        <v>123</v>
      </c>
      <c r="B58" s="10" t="str">
        <f t="shared" ref="B58:C60" si="14">I56</f>
        <v>RM</v>
      </c>
      <c r="C58" s="10" t="str">
        <f t="shared" si="14"/>
        <v>Chocolate mass</v>
      </c>
      <c r="D58" s="10">
        <f t="shared" ref="D58:F60" si="15">$L56/$K$54*D$56</f>
        <v>0</v>
      </c>
      <c r="E58" s="10">
        <f t="shared" si="15"/>
        <v>361.08</v>
      </c>
      <c r="F58" s="10">
        <f t="shared" si="15"/>
        <v>566.4</v>
      </c>
      <c r="G58" s="10">
        <f>$P56/$K$54*G$56</f>
        <v>497.7</v>
      </c>
      <c r="H58" s="10"/>
      <c r="I58" s="10" t="s">
        <v>3</v>
      </c>
      <c r="J58" s="10" t="s">
        <v>32</v>
      </c>
      <c r="K58" s="10">
        <f>'BOM &amp; Std price'!C9</f>
        <v>765190</v>
      </c>
      <c r="L58" s="10">
        <f>'BOM &amp; Std price'!D9</f>
        <v>102</v>
      </c>
      <c r="M58" s="10">
        <f>'BOM &amp; Std price'!E9</f>
        <v>102</v>
      </c>
      <c r="N58" s="10">
        <f>'BOM &amp; Std price'!F9</f>
        <v>101</v>
      </c>
      <c r="O58" s="10">
        <f>'BOM &amp; Std price'!G9</f>
        <v>101</v>
      </c>
      <c r="P58" s="10">
        <f>'BOM &amp; Std price'!H9</f>
        <v>101</v>
      </c>
      <c r="Q58" s="24">
        <f>'BOM &amp; Std price'!I9</f>
        <v>102</v>
      </c>
    </row>
    <row r="59" spans="1:17" x14ac:dyDescent="0.3">
      <c r="A59" s="240"/>
      <c r="B59" s="10" t="str">
        <f t="shared" si="14"/>
        <v>SFG</v>
      </c>
      <c r="C59" s="10" t="str">
        <f t="shared" si="14"/>
        <v>Fried Peanut</v>
      </c>
      <c r="D59" s="10">
        <f t="shared" si="15"/>
        <v>0</v>
      </c>
      <c r="E59" s="10">
        <f t="shared" si="15"/>
        <v>104.55</v>
      </c>
      <c r="F59" s="10">
        <f t="shared" si="15"/>
        <v>164</v>
      </c>
      <c r="G59" s="10">
        <f>$P57/$K$54*G$56</f>
        <v>142.10000000000002</v>
      </c>
      <c r="H59" s="10"/>
      <c r="I59" s="10"/>
      <c r="J59" s="12" t="s">
        <v>29</v>
      </c>
      <c r="K59" s="12"/>
      <c r="L59" s="12">
        <f>'BOM &amp; Std price'!D10</f>
        <v>1015</v>
      </c>
      <c r="M59" s="12">
        <f>'BOM &amp; Std price'!E10</f>
        <v>1015</v>
      </c>
      <c r="N59" s="12">
        <f>'BOM &amp; Std price'!F10</f>
        <v>1015</v>
      </c>
      <c r="O59" s="12">
        <f>'BOM &amp; Std price'!G10</f>
        <v>1015</v>
      </c>
      <c r="P59" s="12">
        <f>'BOM &amp; Std price'!H10</f>
        <v>1015</v>
      </c>
      <c r="Q59" s="92">
        <f>'BOM &amp; Std price'!I10</f>
        <v>1015</v>
      </c>
    </row>
    <row r="60" spans="1:17" x14ac:dyDescent="0.3">
      <c r="A60" s="240"/>
      <c r="B60" s="10" t="str">
        <f t="shared" si="14"/>
        <v>RM</v>
      </c>
      <c r="C60" s="10" t="str">
        <f t="shared" si="14"/>
        <v>Caramel</v>
      </c>
      <c r="D60" s="10">
        <f t="shared" si="15"/>
        <v>0</v>
      </c>
      <c r="E60" s="10">
        <f t="shared" si="15"/>
        <v>52.019999999999996</v>
      </c>
      <c r="F60" s="10">
        <f t="shared" si="15"/>
        <v>81.599999999999994</v>
      </c>
      <c r="G60" s="10">
        <f>$P58/$K$54*G$56</f>
        <v>70.7</v>
      </c>
      <c r="H60" s="10"/>
      <c r="I60" s="10"/>
      <c r="J60" s="20" t="s">
        <v>33</v>
      </c>
      <c r="K60" s="20"/>
      <c r="L60" s="93">
        <f t="shared" ref="L60:Q60" si="16">L59/$K$54-1</f>
        <v>1.4999999999999902E-2</v>
      </c>
      <c r="M60" s="93">
        <f t="shared" si="16"/>
        <v>1.4999999999999902E-2</v>
      </c>
      <c r="N60" s="93">
        <f t="shared" si="16"/>
        <v>1.4999999999999902E-2</v>
      </c>
      <c r="O60" s="93">
        <f t="shared" si="16"/>
        <v>1.4999999999999902E-2</v>
      </c>
      <c r="P60" s="93">
        <f t="shared" si="16"/>
        <v>1.4999999999999902E-2</v>
      </c>
      <c r="Q60" s="94">
        <f t="shared" si="16"/>
        <v>1.4999999999999902E-2</v>
      </c>
    </row>
    <row r="61" spans="1:17" x14ac:dyDescent="0.3">
      <c r="A61" s="23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24"/>
    </row>
    <row r="62" spans="1:17" x14ac:dyDescent="0.3">
      <c r="A62" s="240" t="s">
        <v>124</v>
      </c>
      <c r="B62" s="10" t="str">
        <f t="shared" ref="B62:C64" si="17">I56</f>
        <v>RM</v>
      </c>
      <c r="C62" s="10" t="str">
        <f t="shared" si="17"/>
        <v>Chocolate mass</v>
      </c>
      <c r="D62" s="10">
        <f>M56/$K$54*D$56</f>
        <v>0</v>
      </c>
      <c r="E62" s="10">
        <f t="shared" ref="E62:F64" si="18">N56/$K$54*E$56</f>
        <v>362.60999999999996</v>
      </c>
      <c r="F62" s="10">
        <f t="shared" si="18"/>
        <v>568.79999999999995</v>
      </c>
      <c r="G62" s="10">
        <f>Q56/$K$54*G$56</f>
        <v>495.59999999999997</v>
      </c>
      <c r="H62" s="10"/>
      <c r="I62" s="10"/>
      <c r="J62" s="10"/>
      <c r="K62" s="10"/>
      <c r="L62" s="10"/>
      <c r="M62" s="10"/>
      <c r="N62" s="10"/>
      <c r="O62" s="10"/>
      <c r="P62" s="10"/>
      <c r="Q62" s="24"/>
    </row>
    <row r="63" spans="1:17" x14ac:dyDescent="0.3">
      <c r="A63" s="240"/>
      <c r="B63" s="10" t="str">
        <f t="shared" si="17"/>
        <v>SFG</v>
      </c>
      <c r="C63" s="10" t="str">
        <f t="shared" si="17"/>
        <v>Fried Peanut</v>
      </c>
      <c r="D63" s="10">
        <f>M57/$K$54*D$56</f>
        <v>0</v>
      </c>
      <c r="E63" s="10">
        <f t="shared" si="18"/>
        <v>103.53</v>
      </c>
      <c r="F63" s="10">
        <f t="shared" si="18"/>
        <v>162.4</v>
      </c>
      <c r="G63" s="10">
        <f>Q57/$K$54*G$56</f>
        <v>143.5</v>
      </c>
      <c r="H63" s="10"/>
      <c r="I63" s="10"/>
      <c r="J63" s="10"/>
      <c r="K63" s="10"/>
      <c r="L63" s="10"/>
      <c r="M63" s="10"/>
      <c r="N63" s="10"/>
      <c r="O63" s="10"/>
      <c r="P63" s="10"/>
      <c r="Q63" s="24"/>
    </row>
    <row r="64" spans="1:17" x14ac:dyDescent="0.3">
      <c r="A64" s="240"/>
      <c r="B64" s="10" t="str">
        <f t="shared" si="17"/>
        <v>RM</v>
      </c>
      <c r="C64" s="10" t="str">
        <f t="shared" si="17"/>
        <v>Caramel</v>
      </c>
      <c r="D64" s="10">
        <f>M58/$K$54*D$56</f>
        <v>0</v>
      </c>
      <c r="E64" s="10">
        <f t="shared" si="18"/>
        <v>51.510000000000005</v>
      </c>
      <c r="F64" s="10">
        <f t="shared" si="18"/>
        <v>80.800000000000011</v>
      </c>
      <c r="G64" s="10">
        <f>Q58/$K$54*G$56</f>
        <v>71.399999999999991</v>
      </c>
      <c r="H64" s="10"/>
      <c r="I64" s="10"/>
      <c r="J64" s="10"/>
      <c r="K64" s="10"/>
      <c r="L64" s="10"/>
      <c r="M64" s="10"/>
      <c r="N64" s="10"/>
      <c r="O64" s="10"/>
      <c r="P64" s="10"/>
      <c r="Q64" s="24"/>
    </row>
    <row r="65" spans="1:17" x14ac:dyDescent="0.3">
      <c r="A65" s="23"/>
      <c r="B65" s="10"/>
      <c r="C65" s="10"/>
      <c r="D65" s="10"/>
      <c r="E65" s="10"/>
      <c r="F65" s="10"/>
      <c r="G65" s="10"/>
      <c r="H65" s="10"/>
      <c r="I65" s="10"/>
      <c r="J65" s="12" t="s">
        <v>126</v>
      </c>
      <c r="K65" s="12" t="s">
        <v>59</v>
      </c>
      <c r="L65" s="10"/>
      <c r="M65" s="10" t="s">
        <v>77</v>
      </c>
      <c r="N65" s="10" t="s">
        <v>81</v>
      </c>
      <c r="O65" s="10" t="s">
        <v>82</v>
      </c>
      <c r="P65" s="10" t="s">
        <v>83</v>
      </c>
      <c r="Q65" s="24"/>
    </row>
    <row r="66" spans="1:17" x14ac:dyDescent="0.3">
      <c r="A66" s="240" t="s">
        <v>125</v>
      </c>
      <c r="B66" s="10" t="str">
        <f t="shared" ref="B66:C68" si="19">I56</f>
        <v>RM</v>
      </c>
      <c r="C66" s="10" t="str">
        <f t="shared" si="19"/>
        <v>Chocolate mass</v>
      </c>
      <c r="D66" s="10">
        <f t="shared" ref="D66:G68" si="20">D62-D58</f>
        <v>0</v>
      </c>
      <c r="E66" s="10">
        <f t="shared" si="20"/>
        <v>1.5299999999999727</v>
      </c>
      <c r="F66" s="10">
        <f t="shared" si="20"/>
        <v>2.3999999999999773</v>
      </c>
      <c r="G66" s="10">
        <f t="shared" si="20"/>
        <v>-2.1000000000000227</v>
      </c>
      <c r="H66" s="10"/>
      <c r="I66" s="10"/>
      <c r="J66" s="10" t="str">
        <f t="shared" ref="J66:K68" si="21">J56</f>
        <v>Chocolate mass</v>
      </c>
      <c r="K66" s="10">
        <f t="shared" si="21"/>
        <v>867156</v>
      </c>
      <c r="L66" s="10"/>
      <c r="M66" s="10">
        <f>VLOOKUP($K66,'list of materials'!$A:$F,5,0)</f>
        <v>28</v>
      </c>
      <c r="N66" s="10">
        <f>VLOOKUP($K66,'list of materials'!$A:$F,5,0)</f>
        <v>28</v>
      </c>
      <c r="O66" s="10">
        <f>VLOOKUP($K66,'list of materials'!$A:$F,5,0)</f>
        <v>28</v>
      </c>
      <c r="P66" s="10">
        <f>VLOOKUP($K66,'list of materials'!$A:$F,6,0)</f>
        <v>31</v>
      </c>
      <c r="Q66" s="24"/>
    </row>
    <row r="67" spans="1:17" x14ac:dyDescent="0.3">
      <c r="A67" s="240"/>
      <c r="B67" s="10" t="str">
        <f t="shared" si="19"/>
        <v>SFG</v>
      </c>
      <c r="C67" s="10" t="str">
        <f t="shared" si="19"/>
        <v>Fried Peanut</v>
      </c>
      <c r="D67" s="10">
        <f t="shared" si="20"/>
        <v>0</v>
      </c>
      <c r="E67" s="10">
        <f t="shared" si="20"/>
        <v>-1.019999999999996</v>
      </c>
      <c r="F67" s="10">
        <f t="shared" si="20"/>
        <v>-1.5999999999999943</v>
      </c>
      <c r="G67" s="10">
        <f t="shared" si="20"/>
        <v>1.3999999999999773</v>
      </c>
      <c r="H67" s="10"/>
      <c r="I67" s="10"/>
      <c r="J67" s="10" t="str">
        <f t="shared" si="21"/>
        <v>Fried Peanut</v>
      </c>
      <c r="K67" s="10">
        <f t="shared" si="21"/>
        <v>876145</v>
      </c>
      <c r="L67" s="10"/>
      <c r="M67" s="10">
        <f>VLOOKUP($K67,'list of materials'!$A:$F,5,0)</f>
        <v>28.75</v>
      </c>
      <c r="N67" s="10">
        <f>VLOOKUP($K67,'list of materials'!$A:$F,5,0)</f>
        <v>28.75</v>
      </c>
      <c r="O67" s="10">
        <f>VLOOKUP($K67,'list of materials'!$A:$F,5,0)</f>
        <v>28.75</v>
      </c>
      <c r="P67" s="10">
        <f>VLOOKUP($K67,'list of materials'!$A:$F,6,0)</f>
        <v>27.6</v>
      </c>
      <c r="Q67" s="24"/>
    </row>
    <row r="68" spans="1:17" x14ac:dyDescent="0.3">
      <c r="A68" s="240"/>
      <c r="B68" s="10" t="str">
        <f t="shared" si="19"/>
        <v>RM</v>
      </c>
      <c r="C68" s="10" t="str">
        <f t="shared" si="19"/>
        <v>Caramel</v>
      </c>
      <c r="D68" s="10">
        <f t="shared" si="20"/>
        <v>0</v>
      </c>
      <c r="E68" s="10">
        <f t="shared" si="20"/>
        <v>-0.50999999999999091</v>
      </c>
      <c r="F68" s="10">
        <f t="shared" si="20"/>
        <v>-0.79999999999998295</v>
      </c>
      <c r="G68" s="10">
        <f t="shared" si="20"/>
        <v>0.69999999999998863</v>
      </c>
      <c r="H68" s="10"/>
      <c r="I68" s="10"/>
      <c r="J68" s="10" t="str">
        <f t="shared" si="21"/>
        <v>Caramel</v>
      </c>
      <c r="K68" s="10">
        <f t="shared" si="21"/>
        <v>765190</v>
      </c>
      <c r="L68" s="10"/>
      <c r="M68" s="10">
        <f>VLOOKUP($K68,'list of materials'!$A:$F,5,0)</f>
        <v>15</v>
      </c>
      <c r="N68" s="10">
        <f>VLOOKUP($K68,'list of materials'!$A:$F,5,0)</f>
        <v>15</v>
      </c>
      <c r="O68" s="10">
        <f>VLOOKUP($K68,'list of materials'!$A:$F,5,0)</f>
        <v>15</v>
      </c>
      <c r="P68" s="10">
        <f>VLOOKUP($K68,'list of materials'!$A:$F,6,0)</f>
        <v>16</v>
      </c>
      <c r="Q68" s="24"/>
    </row>
    <row r="69" spans="1:17" x14ac:dyDescent="0.3">
      <c r="A69" s="23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24"/>
    </row>
    <row r="70" spans="1:17" x14ac:dyDescent="0.3">
      <c r="A70" s="241" t="s">
        <v>127</v>
      </c>
      <c r="B70" s="10" t="str">
        <f t="shared" ref="B70:C72" si="22">I56</f>
        <v>RM</v>
      </c>
      <c r="C70" s="10" t="str">
        <f t="shared" si="22"/>
        <v>Chocolate mass</v>
      </c>
      <c r="D70" s="10">
        <f t="shared" ref="D70:G72" si="23">D66*M66</f>
        <v>0</v>
      </c>
      <c r="E70" s="10">
        <f t="shared" si="23"/>
        <v>42.839999999999236</v>
      </c>
      <c r="F70" s="10">
        <f t="shared" si="23"/>
        <v>67.199999999999363</v>
      </c>
      <c r="G70" s="10">
        <f t="shared" si="23"/>
        <v>-65.100000000000705</v>
      </c>
      <c r="H70" s="10"/>
      <c r="I70" s="10"/>
      <c r="J70" s="10"/>
      <c r="K70" s="10"/>
      <c r="L70" s="10"/>
      <c r="M70" s="10"/>
      <c r="N70" s="10"/>
      <c r="O70" s="10"/>
      <c r="P70" s="10"/>
      <c r="Q70" s="24"/>
    </row>
    <row r="71" spans="1:17" x14ac:dyDescent="0.3">
      <c r="A71" s="241"/>
      <c r="B71" s="10" t="str">
        <f t="shared" si="22"/>
        <v>SFG</v>
      </c>
      <c r="C71" s="10" t="str">
        <f t="shared" si="22"/>
        <v>Fried Peanut</v>
      </c>
      <c r="D71" s="10">
        <f t="shared" si="23"/>
        <v>0</v>
      </c>
      <c r="E71" s="10">
        <f t="shared" si="23"/>
        <v>-29.324999999999886</v>
      </c>
      <c r="F71" s="10">
        <f t="shared" si="23"/>
        <v>-45.999999999999837</v>
      </c>
      <c r="G71" s="10">
        <f t="shared" si="23"/>
        <v>38.639999999999375</v>
      </c>
      <c r="H71" s="10"/>
      <c r="I71" s="10"/>
      <c r="J71" s="10"/>
      <c r="K71" s="10"/>
      <c r="L71" s="10"/>
      <c r="M71" s="10"/>
      <c r="N71" s="10"/>
      <c r="O71" s="10"/>
      <c r="P71" s="10"/>
      <c r="Q71" s="24"/>
    </row>
    <row r="72" spans="1:17" x14ac:dyDescent="0.3">
      <c r="A72" s="241"/>
      <c r="B72" s="10" t="str">
        <f t="shared" si="22"/>
        <v>RM</v>
      </c>
      <c r="C72" s="10" t="str">
        <f t="shared" si="22"/>
        <v>Caramel</v>
      </c>
      <c r="D72" s="10">
        <f t="shared" si="23"/>
        <v>0</v>
      </c>
      <c r="E72" s="10">
        <f t="shared" si="23"/>
        <v>-7.6499999999998636</v>
      </c>
      <c r="F72" s="10">
        <f t="shared" si="23"/>
        <v>-11.999999999999744</v>
      </c>
      <c r="G72" s="10">
        <f t="shared" si="23"/>
        <v>11.199999999999818</v>
      </c>
      <c r="H72" s="10"/>
      <c r="I72" s="10"/>
      <c r="J72" s="10"/>
      <c r="K72" s="10"/>
      <c r="L72" s="10"/>
      <c r="M72" s="10"/>
      <c r="N72" s="10"/>
      <c r="O72" s="10"/>
      <c r="P72" s="10"/>
      <c r="Q72" s="24"/>
    </row>
    <row r="73" spans="1:17" x14ac:dyDescent="0.3">
      <c r="A73" s="23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24"/>
    </row>
    <row r="74" spans="1:17" x14ac:dyDescent="0.3">
      <c r="A74" s="23" t="s">
        <v>128</v>
      </c>
      <c r="B74" s="10" t="str">
        <f t="shared" ref="B74:C76" si="24">I56</f>
        <v>RM</v>
      </c>
      <c r="C74" s="10" t="str">
        <f t="shared" si="24"/>
        <v>Chocolate mass</v>
      </c>
      <c r="D74" s="10">
        <f>-SUMIFS(Movements!$I:$I,Movements!$A:$A,D$55,Movements!$G:$G,$A$75,Movements!$C:$C,'Formulation &amp; overusage'!$C74,Movements!$E:$E,'Formulation &amp; overusage'!$A$76)</f>
        <v>0</v>
      </c>
      <c r="E74" s="10">
        <f>-SUMIFS(Movements!$I:$I,Movements!$A:$A,E$55,Movements!$G:$G,$A$75,Movements!$C:$C,'Formulation &amp; overusage'!$C74,Movements!$E:$E,'Formulation &amp; overusage'!$A$76)</f>
        <v>361.08</v>
      </c>
      <c r="F74" s="10">
        <f>-SUMIFS(Movements!$I:$I,Movements!$A:$A,F$55,Movements!$G:$G,$A$75,Movements!$C:$C,'Formulation &amp; overusage'!$C74,Movements!$E:$E,'Formulation &amp; overusage'!$A$76)</f>
        <v>566.4</v>
      </c>
      <c r="G74" s="10">
        <f>-SUMIFS(Movements!$I:$I,Movements!$A:$A,G$55,Movements!$G:$G,$A$75,Movements!$C:$C,'Formulation &amp; overusage'!$C74,Movements!$E:$E,'Formulation &amp; overusage'!$A$76)</f>
        <v>495.59999999999997</v>
      </c>
      <c r="H74" s="10"/>
      <c r="I74" s="10"/>
      <c r="J74" s="10"/>
      <c r="K74" s="10"/>
      <c r="L74" s="10"/>
      <c r="M74" s="10"/>
      <c r="N74" s="10"/>
      <c r="O74" s="10"/>
      <c r="P74" s="10"/>
      <c r="Q74" s="24"/>
    </row>
    <row r="75" spans="1:17" x14ac:dyDescent="0.3">
      <c r="A75" s="23" t="s">
        <v>44</v>
      </c>
      <c r="B75" s="10" t="str">
        <f t="shared" si="24"/>
        <v>SFG</v>
      </c>
      <c r="C75" s="10" t="str">
        <f t="shared" si="24"/>
        <v>Fried Peanut</v>
      </c>
      <c r="D75" s="10">
        <f>-SUMIFS(Movements!$I:$I,Movements!$A:$A,D$55,Movements!$G:$G,$A$75,Movements!$C:$C,'Formulation &amp; overusage'!$C75,Movements!$E:$E,'Formulation &amp; overusage'!$A$76)</f>
        <v>0</v>
      </c>
      <c r="E75" s="10">
        <f>-SUMIFS(Movements!$I:$I,Movements!$A:$A,E$55,Movements!$G:$G,$A$75,Movements!$C:$C,'Formulation &amp; overusage'!$C75,Movements!$E:$E,'Formulation &amp; overusage'!$A$76)</f>
        <v>104.55</v>
      </c>
      <c r="F75" s="10">
        <f>-SUMIFS(Movements!$I:$I,Movements!$A:$A,F$55,Movements!$G:$G,$A$75,Movements!$C:$C,'Formulation &amp; overusage'!$C75,Movements!$E:$E,'Formulation &amp; overusage'!$A$76)</f>
        <v>164</v>
      </c>
      <c r="G75" s="10">
        <f>-SUMIFS(Movements!$I:$I,Movements!$A:$A,G$55,Movements!$G:$G,$A$75,Movements!$C:$C,'Formulation &amp; overusage'!$C75,Movements!$E:$E,'Formulation &amp; overusage'!$A$76)</f>
        <v>143.5</v>
      </c>
      <c r="H75" s="10"/>
      <c r="I75" s="10"/>
      <c r="J75" s="10"/>
      <c r="K75" s="10"/>
      <c r="L75" s="10"/>
      <c r="M75" s="10"/>
      <c r="N75" s="10"/>
      <c r="O75" s="10"/>
      <c r="P75" s="10"/>
      <c r="Q75" s="24"/>
    </row>
    <row r="76" spans="1:17" x14ac:dyDescent="0.3">
      <c r="A76" s="23" t="s">
        <v>66</v>
      </c>
      <c r="B76" s="10" t="str">
        <f t="shared" si="24"/>
        <v>RM</v>
      </c>
      <c r="C76" s="10" t="str">
        <f t="shared" si="24"/>
        <v>Caramel</v>
      </c>
      <c r="D76" s="10">
        <f>-SUMIFS(Movements!$I:$I,Movements!$A:$A,D$55,Movements!$G:$G,$A$75,Movements!$C:$C,'Formulation &amp; overusage'!$C76,Movements!$E:$E,'Formulation &amp; overusage'!$A$76)</f>
        <v>0</v>
      </c>
      <c r="E76" s="10">
        <f>-SUMIFS(Movements!$I:$I,Movements!$A:$A,E$55,Movements!$G:$G,$A$75,Movements!$C:$C,'Formulation &amp; overusage'!$C76,Movements!$E:$E,'Formulation &amp; overusage'!$A$76)</f>
        <v>52.02</v>
      </c>
      <c r="F76" s="10">
        <f>-SUMIFS(Movements!$I:$I,Movements!$A:$A,F$55,Movements!$G:$G,$A$75,Movements!$C:$C,'Formulation &amp; overusage'!$C76,Movements!$E:$E,'Formulation &amp; overusage'!$A$76)</f>
        <v>81.600000000000009</v>
      </c>
      <c r="G76" s="10">
        <f>-SUMIFS(Movements!$I:$I,Movements!$A:$A,G$55,Movements!$G:$G,$A$75,Movements!$C:$C,'Formulation &amp; overusage'!$C76,Movements!$E:$E,'Formulation &amp; overusage'!$A$76)</f>
        <v>71.399999999999991</v>
      </c>
      <c r="H76" s="10"/>
      <c r="I76" s="10"/>
      <c r="J76" s="10"/>
      <c r="K76" s="10"/>
      <c r="L76" s="10"/>
      <c r="M76" s="10"/>
      <c r="N76" s="10"/>
      <c r="O76" s="10"/>
      <c r="P76" s="10"/>
      <c r="Q76" s="24"/>
    </row>
    <row r="77" spans="1:17" x14ac:dyDescent="0.3">
      <c r="A77" s="23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24"/>
    </row>
    <row r="78" spans="1:17" x14ac:dyDescent="0.3">
      <c r="A78" s="241" t="s">
        <v>131</v>
      </c>
      <c r="B78" s="10" t="str">
        <f t="shared" ref="B78:C80" si="25">I56</f>
        <v>RM</v>
      </c>
      <c r="C78" s="10" t="str">
        <f t="shared" si="25"/>
        <v>Chocolate mass</v>
      </c>
      <c r="D78" s="10">
        <f t="shared" ref="D78:G80" si="26">D74-D62</f>
        <v>0</v>
      </c>
      <c r="E78" s="10">
        <f t="shared" si="26"/>
        <v>-1.5299999999999727</v>
      </c>
      <c r="F78" s="10">
        <f t="shared" si="26"/>
        <v>-2.3999999999999773</v>
      </c>
      <c r="G78" s="10">
        <f t="shared" si="26"/>
        <v>0</v>
      </c>
      <c r="H78" s="10"/>
      <c r="I78" s="10"/>
      <c r="J78" s="10"/>
      <c r="K78" s="10"/>
      <c r="L78" s="10"/>
      <c r="M78" s="10"/>
      <c r="N78" s="10"/>
      <c r="O78" s="10"/>
      <c r="P78" s="10"/>
      <c r="Q78" s="24"/>
    </row>
    <row r="79" spans="1:17" x14ac:dyDescent="0.3">
      <c r="A79" s="241"/>
      <c r="B79" s="10" t="str">
        <f t="shared" si="25"/>
        <v>SFG</v>
      </c>
      <c r="C79" s="10" t="str">
        <f t="shared" si="25"/>
        <v>Fried Peanut</v>
      </c>
      <c r="D79" s="10">
        <f t="shared" si="26"/>
        <v>0</v>
      </c>
      <c r="E79" s="10">
        <f t="shared" si="26"/>
        <v>1.019999999999996</v>
      </c>
      <c r="F79" s="10">
        <f t="shared" si="26"/>
        <v>1.5999999999999943</v>
      </c>
      <c r="G79" s="10">
        <f t="shared" si="26"/>
        <v>0</v>
      </c>
      <c r="H79" s="10"/>
      <c r="I79" s="10"/>
      <c r="J79" s="10"/>
      <c r="K79" s="10"/>
      <c r="L79" s="10"/>
      <c r="M79" s="10"/>
      <c r="N79" s="10"/>
      <c r="O79" s="10"/>
      <c r="P79" s="10"/>
      <c r="Q79" s="24"/>
    </row>
    <row r="80" spans="1:17" x14ac:dyDescent="0.3">
      <c r="A80" s="241"/>
      <c r="B80" s="10" t="str">
        <f t="shared" si="25"/>
        <v>RM</v>
      </c>
      <c r="C80" s="10" t="str">
        <f t="shared" si="25"/>
        <v>Caramel</v>
      </c>
      <c r="D80" s="10">
        <f t="shared" si="26"/>
        <v>0</v>
      </c>
      <c r="E80" s="10">
        <f t="shared" si="26"/>
        <v>0.50999999999999801</v>
      </c>
      <c r="F80" s="10">
        <f t="shared" si="26"/>
        <v>0.79999999999999716</v>
      </c>
      <c r="G80" s="10">
        <f t="shared" si="26"/>
        <v>0</v>
      </c>
      <c r="H80" s="10"/>
      <c r="I80" s="10"/>
      <c r="J80" s="10"/>
      <c r="K80" s="10"/>
      <c r="L80" s="10"/>
      <c r="M80" s="10"/>
      <c r="N80" s="10"/>
      <c r="O80" s="10"/>
      <c r="P80" s="10"/>
      <c r="Q80" s="24"/>
    </row>
    <row r="81" spans="1:17" x14ac:dyDescent="0.3">
      <c r="A81" s="23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24"/>
    </row>
    <row r="82" spans="1:17" x14ac:dyDescent="0.3">
      <c r="A82" s="241" t="s">
        <v>130</v>
      </c>
      <c r="B82" s="10" t="str">
        <f t="shared" ref="B82:C84" si="27">I56</f>
        <v>RM</v>
      </c>
      <c r="C82" s="10" t="str">
        <f t="shared" si="27"/>
        <v>Chocolate mass</v>
      </c>
      <c r="D82" s="10">
        <f t="shared" ref="D82:G84" si="28">D78*M66</f>
        <v>0</v>
      </c>
      <c r="E82" s="10">
        <f t="shared" si="28"/>
        <v>-42.839999999999236</v>
      </c>
      <c r="F82" s="10">
        <f t="shared" si="28"/>
        <v>-67.199999999999363</v>
      </c>
      <c r="G82" s="10">
        <f t="shared" si="28"/>
        <v>0</v>
      </c>
      <c r="H82" s="10"/>
      <c r="I82" s="10"/>
      <c r="J82" s="10"/>
      <c r="K82" s="10"/>
      <c r="L82" s="10"/>
      <c r="M82" s="10"/>
      <c r="N82" s="10"/>
      <c r="O82" s="10"/>
      <c r="P82" s="10"/>
      <c r="Q82" s="24"/>
    </row>
    <row r="83" spans="1:17" x14ac:dyDescent="0.3">
      <c r="A83" s="241"/>
      <c r="B83" s="10" t="str">
        <f t="shared" si="27"/>
        <v>SFG</v>
      </c>
      <c r="C83" s="10" t="str">
        <f t="shared" si="27"/>
        <v>Fried Peanut</v>
      </c>
      <c r="D83" s="10">
        <f t="shared" si="28"/>
        <v>0</v>
      </c>
      <c r="E83" s="10">
        <f t="shared" si="28"/>
        <v>29.324999999999886</v>
      </c>
      <c r="F83" s="10">
        <f t="shared" si="28"/>
        <v>45.999999999999837</v>
      </c>
      <c r="G83" s="10">
        <f t="shared" si="28"/>
        <v>0</v>
      </c>
      <c r="H83" s="10"/>
      <c r="I83" s="10"/>
      <c r="J83" s="10"/>
      <c r="K83" s="10"/>
      <c r="L83" s="10"/>
      <c r="M83" s="10"/>
      <c r="N83" s="10"/>
      <c r="O83" s="10"/>
      <c r="P83" s="10"/>
      <c r="Q83" s="24"/>
    </row>
    <row r="84" spans="1:17" ht="15" thickBot="1" x14ac:dyDescent="0.35">
      <c r="A84" s="242"/>
      <c r="B84" s="27" t="str">
        <f t="shared" si="27"/>
        <v>RM</v>
      </c>
      <c r="C84" s="27" t="str">
        <f t="shared" si="27"/>
        <v>Caramel</v>
      </c>
      <c r="D84" s="27">
        <f t="shared" si="28"/>
        <v>0</v>
      </c>
      <c r="E84" s="27">
        <f t="shared" si="28"/>
        <v>7.6499999999999702</v>
      </c>
      <c r="F84" s="27">
        <f t="shared" si="28"/>
        <v>11.999999999999957</v>
      </c>
      <c r="G84" s="27">
        <f t="shared" si="28"/>
        <v>0</v>
      </c>
      <c r="H84" s="27"/>
      <c r="I84" s="27"/>
      <c r="J84" s="27"/>
      <c r="K84" s="27"/>
      <c r="L84" s="27"/>
      <c r="M84" s="27"/>
      <c r="N84" s="27"/>
      <c r="O84" s="27"/>
      <c r="P84" s="27"/>
      <c r="Q84" s="95"/>
    </row>
    <row r="86" spans="1:17" ht="15" thickBot="1" x14ac:dyDescent="0.35"/>
    <row r="87" spans="1:17" x14ac:dyDescent="0.3">
      <c r="A87" s="21"/>
      <c r="B87" s="22"/>
      <c r="C87" s="22" t="s">
        <v>132</v>
      </c>
      <c r="D87" s="101" t="s">
        <v>77</v>
      </c>
      <c r="E87" s="101" t="s">
        <v>81</v>
      </c>
      <c r="F87" s="101" t="s">
        <v>82</v>
      </c>
      <c r="G87" s="102" t="s">
        <v>83</v>
      </c>
    </row>
    <row r="88" spans="1:17" x14ac:dyDescent="0.3">
      <c r="A88" s="23" t="s">
        <v>133</v>
      </c>
      <c r="B88" s="10"/>
      <c r="C88" s="10"/>
      <c r="D88" s="64">
        <f>-SUMIFS(Movements!$K:$K,Movements!$G:$G,$I$88,Movements!$A:$A,D$87)</f>
        <v>0</v>
      </c>
      <c r="E88" s="32">
        <f>-SUMIFS(Movements!$K:$K,Movements!$G:$G,$I$88,Movements!$A:$A,E$87)</f>
        <v>42858.665000000001</v>
      </c>
      <c r="F88" s="32">
        <f>-SUMIFS(Movements!$K:$K,Movements!$G:$G,$I$88,Movements!$A:$A,F$87)</f>
        <v>66610.887499999997</v>
      </c>
      <c r="G88" s="25">
        <f>-SUMIFS(Movements!$K:$K,Movements!$G:$G,$I$88,Movements!$A:$A,G$87)</f>
        <v>31761.599999999999</v>
      </c>
      <c r="I88" s="2" t="s">
        <v>44</v>
      </c>
    </row>
    <row r="89" spans="1:17" x14ac:dyDescent="0.3">
      <c r="A89" s="23" t="s">
        <v>134</v>
      </c>
      <c r="B89" s="10"/>
      <c r="C89" s="10"/>
      <c r="D89" s="64">
        <f>SUMPRODUCT(D22:D24,M14:M16)+D46*M41+SUMPRODUCT(D74:D76,M66:M68)</f>
        <v>0</v>
      </c>
      <c r="E89" s="32">
        <f>SUMPRODUCT(E22:E24,N14:N16)+E46*N41+SUMPRODUCT(E74:E76,N66:N68)</f>
        <v>42858.665000000001</v>
      </c>
      <c r="F89" s="32">
        <f>SUMPRODUCT(F22:F24,O14:O16)+F46*O41+SUMPRODUCT(F74:F76,O66:O68)</f>
        <v>66610.887499999997</v>
      </c>
      <c r="G89" s="25">
        <f>SUMPRODUCT(G22:G24,P14:P16)+G46*P41+SUMPRODUCT(G74:G76,P66:P68)</f>
        <v>31761.599999999999</v>
      </c>
    </row>
    <row r="90" spans="1:17" x14ac:dyDescent="0.3">
      <c r="A90" s="23"/>
      <c r="B90" s="10"/>
      <c r="C90" s="103" t="s">
        <v>138</v>
      </c>
      <c r="D90" s="104">
        <f>D89-D88</f>
        <v>0</v>
      </c>
      <c r="E90" s="104">
        <f>E89-E88</f>
        <v>0</v>
      </c>
      <c r="F90" s="104">
        <f>F89-F88</f>
        <v>0</v>
      </c>
      <c r="G90" s="105">
        <f>G89-G88</f>
        <v>0</v>
      </c>
    </row>
    <row r="91" spans="1:17" ht="9.75" customHeight="1" x14ac:dyDescent="0.3">
      <c r="A91" s="23"/>
      <c r="B91" s="10"/>
      <c r="C91" s="10"/>
      <c r="D91" s="10"/>
      <c r="E91" s="10"/>
      <c r="F91" s="10"/>
      <c r="G91" s="24"/>
    </row>
    <row r="92" spans="1:17" x14ac:dyDescent="0.3">
      <c r="A92" s="23" t="s">
        <v>135</v>
      </c>
      <c r="B92" s="10"/>
      <c r="C92" s="10"/>
      <c r="D92" s="64">
        <f>SUMPRODUCT(D6:D8,M14:M16)+SUMPRODUCT(D58:D60,M66:M68)+D38*M41</f>
        <v>0</v>
      </c>
      <c r="E92" s="32">
        <f>SUMPRODUCT(E6:E8,N14:N16)+SUMPRODUCT(E58:E60,N66:N68)+E38*N41</f>
        <v>43003.852500000001</v>
      </c>
      <c r="F92" s="32">
        <f>SUMPRODUCT(F6:F8,O14:O16)+SUMPRODUCT(F58:F60,O66:O68)+F38*O41</f>
        <v>66610.887499999997</v>
      </c>
      <c r="G92" s="25">
        <f>SUMPRODUCT(G6:G8,P14:P16)+SUMPRODUCT(G58:G60,P66:P68)+G38*P41</f>
        <v>31862.21</v>
      </c>
    </row>
    <row r="93" spans="1:17" x14ac:dyDescent="0.3">
      <c r="A93" s="23" t="s">
        <v>136</v>
      </c>
      <c r="B93" s="10"/>
      <c r="C93" s="10"/>
      <c r="D93" s="64">
        <f>SUMPRODUCT(D10:D12,M14:M16)+SUMPRODUCT(D62:D64,M66:M68)+D40*M41</f>
        <v>0</v>
      </c>
      <c r="E93" s="32">
        <f>SUMPRODUCT(E10:E12,N14:N16)+SUMPRODUCT(E62:E64,N66:N68)+E40*N41</f>
        <v>43009.717499999999</v>
      </c>
      <c r="F93" s="32">
        <f>SUMPRODUCT(F10:F12,O14:O16)+SUMPRODUCT(F62:F64,O66:O68)+F40*O41</f>
        <v>66620.087499999994</v>
      </c>
      <c r="G93" s="25">
        <f>SUMPRODUCT(G10:G12,P14:P16)+SUMPRODUCT(G62:G64,P66:P68)+G40*P41</f>
        <v>31846.949999999997</v>
      </c>
    </row>
    <row r="94" spans="1:17" x14ac:dyDescent="0.3">
      <c r="A94" s="23" t="s">
        <v>137</v>
      </c>
      <c r="B94" s="10"/>
      <c r="C94" s="10"/>
      <c r="D94" s="64">
        <f>SUMPRODUCT(D22:D24,M14:M16)+SUMPRODUCT(D74:D76,M66:M68)+D46*M41</f>
        <v>0</v>
      </c>
      <c r="E94" s="32">
        <f>SUMPRODUCT(E22:E24,N14:N16)+SUMPRODUCT(E74:E76,N66:N68)+E46*N41</f>
        <v>42858.665000000001</v>
      </c>
      <c r="F94" s="32">
        <f>SUMPRODUCT(F22:F24,O14:O16)+SUMPRODUCT(F74:F76,O66:O68)+F46*O41</f>
        <v>66610.887499999997</v>
      </c>
      <c r="G94" s="25">
        <f>SUMPRODUCT(G22:G24,P14:P16)+SUMPRODUCT(G74:G76,P66:P68)+G46*P41</f>
        <v>31761.599999999999</v>
      </c>
    </row>
    <row r="95" spans="1:17" ht="9.75" customHeight="1" x14ac:dyDescent="0.3">
      <c r="A95" s="23"/>
      <c r="B95" s="10"/>
      <c r="C95" s="10"/>
      <c r="D95" s="10"/>
      <c r="E95" s="32"/>
      <c r="F95" s="32"/>
      <c r="G95" s="25"/>
    </row>
    <row r="96" spans="1:17" x14ac:dyDescent="0.3">
      <c r="A96" s="23" t="s">
        <v>2</v>
      </c>
      <c r="B96" s="10"/>
      <c r="C96" s="10"/>
      <c r="D96" s="64">
        <f t="shared" ref="D96:G97" si="29">D93-D92</f>
        <v>0</v>
      </c>
      <c r="E96" s="32">
        <f t="shared" si="29"/>
        <v>5.8649999999979627</v>
      </c>
      <c r="F96" s="32">
        <f t="shared" si="29"/>
        <v>9.1999999999970896</v>
      </c>
      <c r="G96" s="25">
        <f t="shared" si="29"/>
        <v>-15.260000000002037</v>
      </c>
    </row>
    <row r="97" spans="1:7" x14ac:dyDescent="0.3">
      <c r="A97" s="23" t="s">
        <v>129</v>
      </c>
      <c r="B97" s="10"/>
      <c r="C97" s="10"/>
      <c r="D97" s="64">
        <f t="shared" si="29"/>
        <v>0</v>
      </c>
      <c r="E97" s="32">
        <f t="shared" si="29"/>
        <v>-151.05249999999796</v>
      </c>
      <c r="F97" s="32">
        <f t="shared" si="29"/>
        <v>-9.1999999999970896</v>
      </c>
      <c r="G97" s="25">
        <f t="shared" si="29"/>
        <v>-85.349999999998545</v>
      </c>
    </row>
    <row r="98" spans="1:7" x14ac:dyDescent="0.3">
      <c r="A98" s="23"/>
      <c r="B98" s="10"/>
      <c r="C98" s="103" t="s">
        <v>138</v>
      </c>
      <c r="D98" s="104">
        <f>D92+D96+D97-D94</f>
        <v>0</v>
      </c>
      <c r="E98" s="104">
        <f>E92+E96+E97-E94</f>
        <v>0</v>
      </c>
      <c r="F98" s="104">
        <f>F92+F96+F97-F94</f>
        <v>0</v>
      </c>
      <c r="G98" s="105">
        <f>G92+G96+G97-G94</f>
        <v>0</v>
      </c>
    </row>
    <row r="99" spans="1:7" ht="9.75" customHeight="1" x14ac:dyDescent="0.3">
      <c r="A99" s="23"/>
      <c r="B99" s="10"/>
      <c r="C99" s="10"/>
      <c r="D99" s="10"/>
      <c r="E99" s="10"/>
      <c r="F99" s="10"/>
      <c r="G99" s="24"/>
    </row>
    <row r="100" spans="1:7" x14ac:dyDescent="0.3">
      <c r="A100" s="23" t="s">
        <v>127</v>
      </c>
      <c r="B100" s="10" t="s">
        <v>3</v>
      </c>
      <c r="C100" s="10"/>
      <c r="D100" s="10">
        <f>D18+D20+D19+D44+D70+D72</f>
        <v>0</v>
      </c>
      <c r="E100" s="64">
        <f>E18+E20+E19+E44+E70+E72</f>
        <v>35.189999999999372</v>
      </c>
      <c r="F100" s="64">
        <f>F18+F20+F19+F44+F70+F72</f>
        <v>55.199999999999619</v>
      </c>
      <c r="G100" s="106">
        <f>G18+G20+G19+G44+G70+G72</f>
        <v>-53.900000000000887</v>
      </c>
    </row>
    <row r="101" spans="1:7" x14ac:dyDescent="0.3">
      <c r="A101" s="23" t="s">
        <v>127</v>
      </c>
      <c r="B101" s="10" t="s">
        <v>4</v>
      </c>
      <c r="C101" s="10"/>
      <c r="D101" s="10">
        <f>D71</f>
        <v>0</v>
      </c>
      <c r="E101" s="64">
        <f>E71</f>
        <v>-29.324999999999886</v>
      </c>
      <c r="F101" s="64">
        <f>F71</f>
        <v>-45.999999999999837</v>
      </c>
      <c r="G101" s="106">
        <f>G71</f>
        <v>38.639999999999375</v>
      </c>
    </row>
    <row r="102" spans="1:7" x14ac:dyDescent="0.3">
      <c r="A102" s="23"/>
      <c r="B102" s="10"/>
      <c r="C102" s="103" t="s">
        <v>138</v>
      </c>
      <c r="D102" s="107">
        <f>D100+D101-D96</f>
        <v>0</v>
      </c>
      <c r="E102" s="107">
        <f>E100+E101-E96</f>
        <v>1.5241141682054149E-12</v>
      </c>
      <c r="F102" s="107">
        <f>F100+F101-F96</f>
        <v>2.6929569685307797E-12</v>
      </c>
      <c r="G102" s="108">
        <f>G100+G101-G96</f>
        <v>5.2580162446247414E-13</v>
      </c>
    </row>
    <row r="103" spans="1:7" x14ac:dyDescent="0.3">
      <c r="A103" s="23" t="s">
        <v>130</v>
      </c>
      <c r="B103" s="10" t="s">
        <v>3</v>
      </c>
      <c r="C103" s="10"/>
      <c r="D103" s="64">
        <f>D30+D31+D32+D52+D82+D84</f>
        <v>0</v>
      </c>
      <c r="E103" s="64">
        <f>E30+E31+E32+E52+E82+E84</f>
        <v>-180.37749999999903</v>
      </c>
      <c r="F103" s="64">
        <f>F30+F31+F32+F52+F82+F84</f>
        <v>-55.199999999999406</v>
      </c>
      <c r="G103" s="106">
        <f>G30+G31+G32+G52+G82+G84</f>
        <v>-85.349999999999653</v>
      </c>
    </row>
    <row r="104" spans="1:7" x14ac:dyDescent="0.3">
      <c r="A104" s="23" t="s">
        <v>130</v>
      </c>
      <c r="B104" s="10" t="s">
        <v>4</v>
      </c>
      <c r="C104" s="10"/>
      <c r="D104" s="64">
        <f>D83</f>
        <v>0</v>
      </c>
      <c r="E104" s="64">
        <f>E83</f>
        <v>29.324999999999886</v>
      </c>
      <c r="F104" s="64">
        <f>F83</f>
        <v>45.999999999999837</v>
      </c>
      <c r="G104" s="106">
        <f>G83</f>
        <v>0</v>
      </c>
    </row>
    <row r="105" spans="1:7" x14ac:dyDescent="0.3">
      <c r="A105" s="23"/>
      <c r="B105" s="10"/>
      <c r="C105" s="103" t="s">
        <v>138</v>
      </c>
      <c r="D105" s="107">
        <f>D103+D104-D97</f>
        <v>0</v>
      </c>
      <c r="E105" s="107">
        <f>E103+E104-E97</f>
        <v>-1.1937117960769683E-12</v>
      </c>
      <c r="F105" s="107">
        <f>F103+F104-F97</f>
        <v>-2.4797941478027496E-12</v>
      </c>
      <c r="G105" s="108">
        <f>G103+G104-G97</f>
        <v>-1.1084466677857563E-12</v>
      </c>
    </row>
    <row r="106" spans="1:7" x14ac:dyDescent="0.3">
      <c r="A106" s="23" t="s">
        <v>135</v>
      </c>
      <c r="B106" s="10" t="s">
        <v>3</v>
      </c>
      <c r="C106" s="10"/>
      <c r="D106" s="64">
        <f>D6*M14+D7*M15+D8*M16+D38*M41+D58*M66+D60*M68</f>
        <v>0</v>
      </c>
      <c r="E106" s="32">
        <f>E6*N14+E7*N15+E8*N16+E38*N41+E58*N66+E60*N68</f>
        <v>39998.04</v>
      </c>
      <c r="F106" s="32">
        <f>F6*O14+F7*O15+F8*O16+F38*O41+F58*O66+F60*O68</f>
        <v>61895.887499999997</v>
      </c>
      <c r="G106" s="25">
        <f>G6*P14+G7*P15+G8*P16+G38*P41+G58*P66+G60*P68</f>
        <v>27940.249999999996</v>
      </c>
    </row>
    <row r="107" spans="1:7" x14ac:dyDescent="0.3">
      <c r="A107" s="23" t="s">
        <v>135</v>
      </c>
      <c r="B107" s="10" t="s">
        <v>4</v>
      </c>
      <c r="C107" s="10"/>
      <c r="D107" s="10">
        <f>D59*M67</f>
        <v>0</v>
      </c>
      <c r="E107" s="32">
        <f>E59*N67</f>
        <v>3005.8125</v>
      </c>
      <c r="F107" s="32">
        <f>F59*O67</f>
        <v>4715</v>
      </c>
      <c r="G107" s="25">
        <f>G59*P67</f>
        <v>3921.9600000000009</v>
      </c>
    </row>
    <row r="108" spans="1:7" ht="15" thickBot="1" x14ac:dyDescent="0.35">
      <c r="A108" s="26"/>
      <c r="B108" s="27"/>
      <c r="C108" s="109" t="s">
        <v>138</v>
      </c>
      <c r="D108" s="110">
        <f>D107+D106-D92</f>
        <v>0</v>
      </c>
      <c r="E108" s="110">
        <f>E107+E106-E92</f>
        <v>0</v>
      </c>
      <c r="F108" s="110">
        <f>F107+F106-F92</f>
        <v>0</v>
      </c>
      <c r="G108" s="111">
        <f>G107+G106-G92</f>
        <v>0</v>
      </c>
    </row>
  </sheetData>
  <mergeCells count="12">
    <mergeCell ref="A30:A32"/>
    <mergeCell ref="A6:A8"/>
    <mergeCell ref="A10:A12"/>
    <mergeCell ref="A14:A16"/>
    <mergeCell ref="A18:A20"/>
    <mergeCell ref="A26:A28"/>
    <mergeCell ref="A66:A68"/>
    <mergeCell ref="A70:A72"/>
    <mergeCell ref="A78:A80"/>
    <mergeCell ref="A82:A84"/>
    <mergeCell ref="A58:A60"/>
    <mergeCell ref="A62:A6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57884-5303-42C2-981D-5F694F2074D8}">
  <sheetPr>
    <tabColor theme="0" tint="-0.34998626667073579"/>
  </sheetPr>
  <dimension ref="B1:H14"/>
  <sheetViews>
    <sheetView zoomScale="145" zoomScaleNormal="145" workbookViewId="0">
      <selection activeCell="H16" sqref="H16"/>
    </sheetView>
  </sheetViews>
  <sheetFormatPr defaultColWidth="9.109375" defaultRowHeight="14.4" x14ac:dyDescent="0.3"/>
  <cols>
    <col min="1" max="1" width="4" style="2" customWidth="1"/>
    <col min="2" max="2" width="8.5546875" style="2" customWidth="1"/>
    <col min="3" max="3" width="8.33203125" style="2" customWidth="1"/>
    <col min="4" max="4" width="16.44140625" style="2" bestFit="1" customWidth="1"/>
    <col min="5" max="8" width="10.33203125" style="2" customWidth="1"/>
    <col min="9" max="16384" width="9.109375" style="2"/>
  </cols>
  <sheetData>
    <row r="1" spans="2:8" x14ac:dyDescent="0.3">
      <c r="F1" s="42"/>
      <c r="G1" s="42"/>
      <c r="H1" s="42"/>
    </row>
    <row r="2" spans="2:8" x14ac:dyDescent="0.3">
      <c r="E2" s="53" t="s">
        <v>77</v>
      </c>
      <c r="F2" s="54" t="s">
        <v>81</v>
      </c>
      <c r="G2" s="54" t="s">
        <v>82</v>
      </c>
      <c r="H2" s="55" t="s">
        <v>83</v>
      </c>
    </row>
    <row r="3" spans="2:8" x14ac:dyDescent="0.3">
      <c r="B3" s="18">
        <v>120301</v>
      </c>
      <c r="C3" s="31" t="s">
        <v>42</v>
      </c>
      <c r="D3" s="243" t="s">
        <v>144</v>
      </c>
      <c r="E3" s="36">
        <f>Stocks!E23</f>
        <v>0</v>
      </c>
      <c r="F3" s="37">
        <f>Stocks!F23</f>
        <v>210</v>
      </c>
      <c r="G3" s="37">
        <f>Stocks!G23</f>
        <v>100</v>
      </c>
      <c r="H3" s="38">
        <f>Stocks!H23</f>
        <v>0</v>
      </c>
    </row>
    <row r="4" spans="2:8" x14ac:dyDescent="0.3">
      <c r="B4" s="15">
        <v>156212</v>
      </c>
      <c r="C4" s="17" t="s">
        <v>43</v>
      </c>
      <c r="D4" s="244"/>
      <c r="E4" s="39">
        <f>Stocks!E24</f>
        <v>0</v>
      </c>
      <c r="F4" s="34">
        <f>Stocks!F24</f>
        <v>500</v>
      </c>
      <c r="G4" s="34">
        <f>Stocks!G24</f>
        <v>700</v>
      </c>
      <c r="H4" s="35">
        <f>Stocks!H24</f>
        <v>0</v>
      </c>
    </row>
    <row r="5" spans="2:8" x14ac:dyDescent="0.3">
      <c r="B5" s="18">
        <v>120301</v>
      </c>
      <c r="C5" s="31" t="s">
        <v>42</v>
      </c>
      <c r="D5" s="243" t="s">
        <v>163</v>
      </c>
      <c r="E5" s="18"/>
      <c r="F5" s="37">
        <f>Sales!I5</f>
        <v>59</v>
      </c>
      <c r="G5" s="37">
        <f>Sales!J5</f>
        <v>63</v>
      </c>
      <c r="H5" s="38">
        <f>Sales!K5</f>
        <v>65</v>
      </c>
    </row>
    <row r="6" spans="2:8" x14ac:dyDescent="0.3">
      <c r="B6" s="15">
        <v>156212</v>
      </c>
      <c r="C6" s="17" t="s">
        <v>43</v>
      </c>
      <c r="D6" s="244"/>
      <c r="E6" s="15"/>
      <c r="F6" s="34">
        <f>Sales!I6</f>
        <v>35</v>
      </c>
      <c r="G6" s="34">
        <f>Sales!J6</f>
        <v>25</v>
      </c>
      <c r="H6" s="35">
        <f>Sales!K6</f>
        <v>25</v>
      </c>
    </row>
    <row r="7" spans="2:8" x14ac:dyDescent="0.3">
      <c r="B7" s="18">
        <v>120301</v>
      </c>
      <c r="C7" s="31" t="s">
        <v>42</v>
      </c>
      <c r="D7" s="243" t="s">
        <v>24</v>
      </c>
      <c r="E7" s="18"/>
      <c r="F7" s="48">
        <f>VLOOKUP($B7,'list of materials'!$A:$F,5,0)</f>
        <v>27.24775</v>
      </c>
      <c r="G7" s="48">
        <f>VLOOKUP($B7,'list of materials'!$A:$F,5,0)</f>
        <v>27.24775</v>
      </c>
      <c r="H7" s="49">
        <f>VLOOKUP($B7,'list of materials'!$A:$F,6,0)</f>
        <v>29.259799999999998</v>
      </c>
    </row>
    <row r="8" spans="2:8" x14ac:dyDescent="0.3">
      <c r="B8" s="15">
        <v>156212</v>
      </c>
      <c r="C8" s="17" t="s">
        <v>43</v>
      </c>
      <c r="D8" s="244"/>
      <c r="E8" s="15"/>
      <c r="F8" s="50">
        <f>VLOOKUP($B8,'list of materials'!$A:$F,5,0)</f>
        <v>25.945</v>
      </c>
      <c r="G8" s="50">
        <f>VLOOKUP($B8,'list of materials'!$A:$F,5,0)</f>
        <v>25.945</v>
      </c>
      <c r="H8" s="51">
        <f>VLOOKUP($B8,'list of materials'!$A:$F,6,0)</f>
        <v>28.45</v>
      </c>
    </row>
    <row r="9" spans="2:8" x14ac:dyDescent="0.3">
      <c r="B9" s="18">
        <v>120301</v>
      </c>
      <c r="C9" s="31" t="s">
        <v>42</v>
      </c>
      <c r="D9" s="243" t="s">
        <v>40</v>
      </c>
      <c r="E9" s="18"/>
      <c r="F9" s="19">
        <f t="shared" ref="F9:H10" si="0">IF(F5&gt;F7,0,(F5-F7)*F3)</f>
        <v>0</v>
      </c>
      <c r="G9" s="19">
        <f t="shared" si="0"/>
        <v>0</v>
      </c>
      <c r="H9" s="31">
        <f t="shared" si="0"/>
        <v>0</v>
      </c>
    </row>
    <row r="10" spans="2:8" x14ac:dyDescent="0.3">
      <c r="B10" s="15">
        <v>156212</v>
      </c>
      <c r="C10" s="17" t="s">
        <v>43</v>
      </c>
      <c r="D10" s="244"/>
      <c r="E10" s="15"/>
      <c r="F10" s="16">
        <f t="shared" si="0"/>
        <v>0</v>
      </c>
      <c r="G10" s="16">
        <f t="shared" si="0"/>
        <v>-661.50000000000023</v>
      </c>
      <c r="H10" s="17">
        <f t="shared" si="0"/>
        <v>0</v>
      </c>
    </row>
    <row r="11" spans="2:8" s="10" customFormat="1" x14ac:dyDescent="0.3">
      <c r="D11" s="52"/>
      <c r="E11" s="9"/>
      <c r="H11" s="11"/>
    </row>
    <row r="12" spans="2:8" x14ac:dyDescent="0.3">
      <c r="B12" s="18">
        <v>120301</v>
      </c>
      <c r="C12" s="31" t="s">
        <v>42</v>
      </c>
      <c r="D12" s="243" t="s">
        <v>151</v>
      </c>
      <c r="E12" s="18"/>
      <c r="F12" s="19">
        <f t="shared" ref="F12:H13" si="1">F9-E9</f>
        <v>0</v>
      </c>
      <c r="G12" s="19">
        <f t="shared" si="1"/>
        <v>0</v>
      </c>
      <c r="H12" s="31">
        <f t="shared" si="1"/>
        <v>0</v>
      </c>
    </row>
    <row r="13" spans="2:8" x14ac:dyDescent="0.3">
      <c r="B13" s="15">
        <v>156212</v>
      </c>
      <c r="C13" s="17" t="s">
        <v>43</v>
      </c>
      <c r="D13" s="244"/>
      <c r="E13" s="15"/>
      <c r="F13" s="16">
        <f t="shared" si="1"/>
        <v>0</v>
      </c>
      <c r="G13" s="16">
        <f t="shared" si="1"/>
        <v>-661.50000000000023</v>
      </c>
      <c r="H13" s="17">
        <f t="shared" si="1"/>
        <v>661.50000000000023</v>
      </c>
    </row>
    <row r="14" spans="2:8" x14ac:dyDescent="0.3">
      <c r="E14" s="3">
        <f>SUM(E12:E13)</f>
        <v>0</v>
      </c>
      <c r="F14" s="3">
        <f>SUM(F12:F13)</f>
        <v>0</v>
      </c>
      <c r="G14" s="3">
        <f>SUM(G12:G13)</f>
        <v>-661.50000000000023</v>
      </c>
      <c r="H14" s="3">
        <f>SUM(H12:H13)</f>
        <v>661.50000000000023</v>
      </c>
    </row>
  </sheetData>
  <mergeCells count="5">
    <mergeCell ref="D3:D4"/>
    <mergeCell ref="D5:D6"/>
    <mergeCell ref="D7:D8"/>
    <mergeCell ref="D9:D10"/>
    <mergeCell ref="D12:D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1C5D6-6A0B-45C5-9915-8A1657652AF6}">
  <sheetPr>
    <tabColor theme="0" tint="-0.34998626667073579"/>
  </sheetPr>
  <dimension ref="B1:Q36"/>
  <sheetViews>
    <sheetView zoomScale="115" zoomScaleNormal="115" workbookViewId="0">
      <selection activeCell="L22" sqref="L22"/>
    </sheetView>
  </sheetViews>
  <sheetFormatPr defaultColWidth="9.109375" defaultRowHeight="14.4" x14ac:dyDescent="0.3"/>
  <cols>
    <col min="1" max="1" width="3.109375" style="2" customWidth="1"/>
    <col min="2" max="2" width="9.109375" style="2"/>
    <col min="3" max="3" width="14.88671875" style="2" bestFit="1" customWidth="1"/>
    <col min="4" max="4" width="8.109375" style="2" bestFit="1" customWidth="1"/>
    <col min="5" max="5" width="10.44140625" style="2" bestFit="1" customWidth="1"/>
    <col min="6" max="6" width="10.109375" style="2" bestFit="1" customWidth="1"/>
    <col min="7" max="7" width="7.6640625" style="2" bestFit="1" customWidth="1"/>
    <col min="8" max="8" width="8.109375" style="2" bestFit="1" customWidth="1"/>
    <col min="9" max="9" width="12.33203125" style="2" bestFit="1" customWidth="1"/>
    <col min="10" max="10" width="10.109375" style="2" bestFit="1" customWidth="1"/>
    <col min="11" max="11" width="11.88671875" style="2" bestFit="1" customWidth="1"/>
    <col min="12" max="12" width="8.109375" style="2" bestFit="1" customWidth="1"/>
    <col min="13" max="13" width="10.44140625" style="2" bestFit="1" customWidth="1"/>
    <col min="14" max="14" width="10.109375" style="2" bestFit="1" customWidth="1"/>
    <col min="15" max="15" width="9.109375" style="2" customWidth="1"/>
    <col min="16" max="16" width="2.6640625" style="2" customWidth="1"/>
    <col min="17" max="17" width="10.44140625" style="2" bestFit="1" customWidth="1"/>
    <col min="18" max="20" width="9.109375" style="2"/>
    <col min="21" max="21" width="12.33203125" style="2" bestFit="1" customWidth="1"/>
    <col min="22" max="22" width="9.109375" style="2"/>
    <col min="23" max="23" width="11.88671875" style="2" bestFit="1" customWidth="1"/>
    <col min="24" max="16384" width="9.109375" style="2"/>
  </cols>
  <sheetData>
    <row r="1" spans="2:15" x14ac:dyDescent="0.3">
      <c r="B1" s="3" t="s">
        <v>172</v>
      </c>
      <c r="I1" s="57" t="s">
        <v>154</v>
      </c>
      <c r="J1" s="58" t="s">
        <v>146</v>
      </c>
      <c r="K1" s="59" t="s">
        <v>160</v>
      </c>
    </row>
    <row r="2" spans="2:15" x14ac:dyDescent="0.3">
      <c r="B2" s="3"/>
      <c r="I2" s="9" t="s">
        <v>155</v>
      </c>
      <c r="J2" s="40" t="s">
        <v>158</v>
      </c>
      <c r="K2" s="60">
        <v>0</v>
      </c>
    </row>
    <row r="3" spans="2:15" x14ac:dyDescent="0.3">
      <c r="B3" s="2">
        <v>2</v>
      </c>
      <c r="C3" s="2" t="s">
        <v>152</v>
      </c>
      <c r="I3" s="9" t="s">
        <v>156</v>
      </c>
      <c r="J3" s="61" t="s">
        <v>153</v>
      </c>
      <c r="K3" s="60">
        <v>0.2</v>
      </c>
    </row>
    <row r="4" spans="2:15" x14ac:dyDescent="0.3">
      <c r="I4" s="15" t="s">
        <v>157</v>
      </c>
      <c r="J4" s="62" t="s">
        <v>159</v>
      </c>
      <c r="K4" s="63">
        <v>0.8</v>
      </c>
    </row>
    <row r="6" spans="2:15" x14ac:dyDescent="0.3">
      <c r="B6" s="3" t="s">
        <v>161</v>
      </c>
    </row>
    <row r="7" spans="2:15" x14ac:dyDescent="0.3">
      <c r="D7" s="245" t="s">
        <v>145</v>
      </c>
      <c r="E7" s="246"/>
      <c r="F7" s="246"/>
      <c r="G7" s="247"/>
      <c r="H7" s="245" t="s">
        <v>148</v>
      </c>
      <c r="I7" s="246"/>
      <c r="J7" s="246"/>
      <c r="K7" s="247"/>
      <c r="L7" s="245" t="s">
        <v>144</v>
      </c>
      <c r="M7" s="246"/>
      <c r="N7" s="246"/>
      <c r="O7" s="247"/>
    </row>
    <row r="8" spans="2:15" x14ac:dyDescent="0.3">
      <c r="D8" s="77" t="s">
        <v>77</v>
      </c>
      <c r="E8" s="62" t="s">
        <v>81</v>
      </c>
      <c r="F8" s="62" t="s">
        <v>82</v>
      </c>
      <c r="G8" s="78" t="s">
        <v>83</v>
      </c>
      <c r="H8" s="77" t="s">
        <v>77</v>
      </c>
      <c r="I8" s="62" t="s">
        <v>81</v>
      </c>
      <c r="J8" s="62" t="s">
        <v>82</v>
      </c>
      <c r="K8" s="78" t="s">
        <v>83</v>
      </c>
      <c r="L8" s="77" t="s">
        <v>77</v>
      </c>
      <c r="M8" s="62" t="s">
        <v>81</v>
      </c>
      <c r="N8" s="62" t="s">
        <v>82</v>
      </c>
      <c r="O8" s="78" t="s">
        <v>83</v>
      </c>
    </row>
    <row r="9" spans="2:15" x14ac:dyDescent="0.3">
      <c r="B9" s="18">
        <v>120301</v>
      </c>
      <c r="C9" s="31" t="s">
        <v>42</v>
      </c>
      <c r="D9" s="33">
        <f>Stocks!E16</f>
        <v>0</v>
      </c>
      <c r="E9" s="32">
        <f>Stocks!F16</f>
        <v>-300</v>
      </c>
      <c r="F9" s="32">
        <f>Stocks!G16</f>
        <v>-910</v>
      </c>
      <c r="G9" s="13">
        <f>Stocks!H16</f>
        <v>-800</v>
      </c>
      <c r="H9" s="9"/>
      <c r="I9" s="64">
        <f t="shared" ref="I9:K15" si="0">(D9+E9)/2</f>
        <v>-150</v>
      </c>
      <c r="J9" s="64">
        <f t="shared" si="0"/>
        <v>-605</v>
      </c>
      <c r="K9" s="65">
        <f t="shared" si="0"/>
        <v>-855</v>
      </c>
      <c r="L9" s="33">
        <f>Stocks!E23</f>
        <v>0</v>
      </c>
      <c r="M9" s="32">
        <f>Stocks!F23</f>
        <v>210</v>
      </c>
      <c r="N9" s="32">
        <f>Stocks!G23</f>
        <v>100</v>
      </c>
      <c r="O9" s="13">
        <f>Stocks!H23</f>
        <v>0</v>
      </c>
    </row>
    <row r="10" spans="2:15" x14ac:dyDescent="0.3">
      <c r="B10" s="9">
        <v>156212</v>
      </c>
      <c r="C10" s="11" t="s">
        <v>43</v>
      </c>
      <c r="D10" s="33">
        <f>Stocks!E17</f>
        <v>0</v>
      </c>
      <c r="E10" s="32">
        <f>Stocks!F17</f>
        <v>-500</v>
      </c>
      <c r="F10" s="32">
        <f>Stocks!G17</f>
        <v>-1300</v>
      </c>
      <c r="G10" s="13">
        <f>Stocks!H17</f>
        <v>-1003</v>
      </c>
      <c r="H10" s="9"/>
      <c r="I10" s="64">
        <f t="shared" si="0"/>
        <v>-250</v>
      </c>
      <c r="J10" s="64">
        <f t="shared" si="0"/>
        <v>-900</v>
      </c>
      <c r="K10" s="65">
        <f t="shared" si="0"/>
        <v>-1151.5</v>
      </c>
      <c r="L10" s="33">
        <f>Stocks!E24</f>
        <v>0</v>
      </c>
      <c r="M10" s="32">
        <f>Stocks!F24</f>
        <v>500</v>
      </c>
      <c r="N10" s="32">
        <f>Stocks!G24</f>
        <v>700</v>
      </c>
      <c r="O10" s="13">
        <f>Stocks!H24</f>
        <v>0</v>
      </c>
    </row>
    <row r="11" spans="2:15" x14ac:dyDescent="0.3">
      <c r="B11" s="9">
        <v>867156</v>
      </c>
      <c r="C11" s="11" t="s">
        <v>12</v>
      </c>
      <c r="D11" s="33">
        <f>Stocks!E18</f>
        <v>0</v>
      </c>
      <c r="E11" s="32">
        <f>Stocks!F18</f>
        <v>-948</v>
      </c>
      <c r="F11" s="32">
        <f>Stocks!G18</f>
        <v>-1454.4</v>
      </c>
      <c r="G11" s="13">
        <f>Stocks!H18</f>
        <v>-678.59999999999991</v>
      </c>
      <c r="H11" s="9"/>
      <c r="I11" s="64">
        <f t="shared" si="0"/>
        <v>-474</v>
      </c>
      <c r="J11" s="64">
        <f t="shared" si="0"/>
        <v>-1201.2</v>
      </c>
      <c r="K11" s="65">
        <f t="shared" si="0"/>
        <v>-1066.5</v>
      </c>
      <c r="L11" s="33">
        <f>Stocks!E25</f>
        <v>2481</v>
      </c>
      <c r="M11" s="32">
        <f>Stocks!F25</f>
        <v>1933</v>
      </c>
      <c r="N11" s="32">
        <f>Stocks!G25</f>
        <v>578.59999999999991</v>
      </c>
      <c r="O11" s="13">
        <f>Stocks!H25</f>
        <v>0</v>
      </c>
    </row>
    <row r="12" spans="2:15" x14ac:dyDescent="0.3">
      <c r="B12" s="9">
        <v>765190</v>
      </c>
      <c r="C12" s="11" t="s">
        <v>32</v>
      </c>
      <c r="D12" s="33">
        <f>Stocks!E19</f>
        <v>0</v>
      </c>
      <c r="E12" s="32">
        <f>Stocks!F19</f>
        <v>-151</v>
      </c>
      <c r="F12" s="32">
        <f>Stocks!G19</f>
        <v>-245.10000000000002</v>
      </c>
      <c r="G12" s="13">
        <f>Stocks!H19</f>
        <v>-101.89999999999999</v>
      </c>
      <c r="H12" s="9"/>
      <c r="I12" s="64">
        <f t="shared" si="0"/>
        <v>-75.5</v>
      </c>
      <c r="J12" s="64">
        <f t="shared" si="0"/>
        <v>-198.05</v>
      </c>
      <c r="K12" s="65">
        <f t="shared" si="0"/>
        <v>-173.5</v>
      </c>
      <c r="L12" s="33">
        <f>Stocks!E26</f>
        <v>198</v>
      </c>
      <c r="M12" s="32">
        <f>Stocks!F26</f>
        <v>247</v>
      </c>
      <c r="N12" s="32">
        <f>Stocks!G26</f>
        <v>51.899999999999977</v>
      </c>
      <c r="O12" s="13">
        <f>Stocks!H26</f>
        <v>0</v>
      </c>
    </row>
    <row r="13" spans="2:15" x14ac:dyDescent="0.3">
      <c r="B13" s="9">
        <v>657341</v>
      </c>
      <c r="C13" s="11" t="s">
        <v>30</v>
      </c>
      <c r="D13" s="33">
        <f>Stocks!E20</f>
        <v>0</v>
      </c>
      <c r="E13" s="32">
        <f>Stocks!F20</f>
        <v>-122.6925</v>
      </c>
      <c r="F13" s="32">
        <f>Stocks!G20</f>
        <v>-250.8075</v>
      </c>
      <c r="G13" s="13">
        <f>Stocks!H20</f>
        <v>-116</v>
      </c>
      <c r="H13" s="9"/>
      <c r="I13" s="64">
        <f t="shared" si="0"/>
        <v>-61.346249999999998</v>
      </c>
      <c r="J13" s="64">
        <f t="shared" si="0"/>
        <v>-186.75</v>
      </c>
      <c r="K13" s="65">
        <f t="shared" si="0"/>
        <v>-183.40375</v>
      </c>
      <c r="L13" s="33">
        <f>Stocks!E27</f>
        <v>89.5</v>
      </c>
      <c r="M13" s="32">
        <f>Stocks!F27</f>
        <v>266.8075</v>
      </c>
      <c r="N13" s="32">
        <f>Stocks!G27</f>
        <v>66</v>
      </c>
      <c r="O13" s="13">
        <f>Stocks!H27</f>
        <v>0</v>
      </c>
    </row>
    <row r="14" spans="2:15" x14ac:dyDescent="0.3">
      <c r="B14" s="9">
        <v>876145</v>
      </c>
      <c r="C14" s="11" t="s">
        <v>14</v>
      </c>
      <c r="D14" s="33">
        <f>Stocks!E21</f>
        <v>0</v>
      </c>
      <c r="E14" s="32">
        <f>Stocks!F21</f>
        <v>-104.55</v>
      </c>
      <c r="F14" s="32">
        <f>Stocks!G21</f>
        <v>-167</v>
      </c>
      <c r="G14" s="13">
        <f>Stocks!H21</f>
        <v>-143.5</v>
      </c>
      <c r="H14" s="9"/>
      <c r="I14" s="64">
        <f t="shared" si="0"/>
        <v>-52.274999999999999</v>
      </c>
      <c r="J14" s="64">
        <f t="shared" si="0"/>
        <v>-135.77500000000001</v>
      </c>
      <c r="K14" s="65">
        <f t="shared" si="0"/>
        <v>-155.25</v>
      </c>
      <c r="L14" s="33">
        <f>Stocks!E28</f>
        <v>0</v>
      </c>
      <c r="M14" s="32">
        <f>Stocks!F28</f>
        <v>5.4500000000000028</v>
      </c>
      <c r="N14" s="32">
        <f>Stocks!G28</f>
        <v>43.5</v>
      </c>
      <c r="O14" s="13">
        <f>Stocks!H28</f>
        <v>0</v>
      </c>
    </row>
    <row r="15" spans="2:15" x14ac:dyDescent="0.3">
      <c r="B15" s="15">
        <v>560196</v>
      </c>
      <c r="C15" s="17" t="s">
        <v>31</v>
      </c>
      <c r="D15" s="39">
        <f>Stocks!E22</f>
        <v>0</v>
      </c>
      <c r="E15" s="34">
        <f>Stocks!F22</f>
        <v>-340</v>
      </c>
      <c r="F15" s="34">
        <f>Stocks!G22</f>
        <v>-481</v>
      </c>
      <c r="G15" s="35">
        <f>Stocks!H22</f>
        <v>-98</v>
      </c>
      <c r="H15" s="15"/>
      <c r="I15" s="66">
        <f t="shared" si="0"/>
        <v>-170</v>
      </c>
      <c r="J15" s="66">
        <f t="shared" si="0"/>
        <v>-410.5</v>
      </c>
      <c r="K15" s="67">
        <f t="shared" si="0"/>
        <v>-289.5</v>
      </c>
      <c r="L15" s="39">
        <f>Stocks!E29</f>
        <v>230</v>
      </c>
      <c r="M15" s="34">
        <f>Stocks!F29</f>
        <v>390</v>
      </c>
      <c r="N15" s="34">
        <f>Stocks!G29</f>
        <v>9</v>
      </c>
      <c r="O15" s="35">
        <f>Stocks!H29</f>
        <v>0</v>
      </c>
    </row>
    <row r="17" spans="2:17" x14ac:dyDescent="0.3">
      <c r="D17" s="245" t="s">
        <v>147</v>
      </c>
      <c r="E17" s="246"/>
      <c r="F17" s="246"/>
      <c r="G17" s="247"/>
      <c r="H17" s="245" t="s">
        <v>149</v>
      </c>
      <c r="I17" s="246"/>
      <c r="J17" s="246"/>
      <c r="K17" s="247"/>
      <c r="L17" s="245" t="s">
        <v>150</v>
      </c>
      <c r="M17" s="246"/>
      <c r="N17" s="246"/>
      <c r="O17" s="247"/>
      <c r="Q17" s="68" t="s">
        <v>84</v>
      </c>
    </row>
    <row r="18" spans="2:17" x14ac:dyDescent="0.3">
      <c r="D18" s="77" t="s">
        <v>77</v>
      </c>
      <c r="E18" s="62" t="s">
        <v>81</v>
      </c>
      <c r="F18" s="62" t="s">
        <v>82</v>
      </c>
      <c r="G18" s="78" t="s">
        <v>83</v>
      </c>
      <c r="H18" s="77" t="s">
        <v>77</v>
      </c>
      <c r="I18" s="62" t="s">
        <v>81</v>
      </c>
      <c r="J18" s="62" t="s">
        <v>82</v>
      </c>
      <c r="K18" s="78" t="s">
        <v>83</v>
      </c>
      <c r="L18" s="77" t="s">
        <v>77</v>
      </c>
      <c r="M18" s="62" t="s">
        <v>81</v>
      </c>
      <c r="N18" s="62" t="s">
        <v>82</v>
      </c>
      <c r="O18" s="78" t="s">
        <v>83</v>
      </c>
      <c r="Q18" s="69" t="s">
        <v>81</v>
      </c>
    </row>
    <row r="19" spans="2:17" x14ac:dyDescent="0.3">
      <c r="B19" s="18">
        <v>120301</v>
      </c>
      <c r="C19" s="31" t="s">
        <v>42</v>
      </c>
      <c r="D19" s="9"/>
      <c r="E19" s="70">
        <f t="shared" ref="E19:G25" si="1">M9/-I9</f>
        <v>1.4</v>
      </c>
      <c r="F19" s="70">
        <f t="shared" si="1"/>
        <v>0.16528925619834711</v>
      </c>
      <c r="G19" s="71">
        <f t="shared" si="1"/>
        <v>0</v>
      </c>
      <c r="H19" s="9"/>
      <c r="I19" s="64">
        <f>IF((M9-(-I9*3))&lt;0,0,M9-(-I9*3))</f>
        <v>0</v>
      </c>
      <c r="J19" s="64">
        <f t="shared" ref="J19:K25" si="2">IF((N9-(-J9*3))&lt;0,0,N9-(-J9*3))</f>
        <v>0</v>
      </c>
      <c r="K19" s="65">
        <f t="shared" si="2"/>
        <v>0</v>
      </c>
      <c r="L19" s="72">
        <f t="shared" ref="L19:O25" si="3">H19*$Q19*$K$3</f>
        <v>0</v>
      </c>
      <c r="M19" s="32">
        <f t="shared" si="3"/>
        <v>0</v>
      </c>
      <c r="N19" s="64">
        <f t="shared" si="3"/>
        <v>0</v>
      </c>
      <c r="O19" s="65">
        <f t="shared" si="3"/>
        <v>0</v>
      </c>
      <c r="Q19" s="73">
        <f>VLOOKUP(B19,'list of materials'!A:F,5,0)</f>
        <v>27.24775</v>
      </c>
    </row>
    <row r="20" spans="2:17" x14ac:dyDescent="0.3">
      <c r="B20" s="9">
        <v>156212</v>
      </c>
      <c r="C20" s="11" t="s">
        <v>43</v>
      </c>
      <c r="D20" s="9"/>
      <c r="E20" s="70">
        <f t="shared" si="1"/>
        <v>2</v>
      </c>
      <c r="F20" s="70">
        <f t="shared" si="1"/>
        <v>0.77777777777777779</v>
      </c>
      <c r="G20" s="71">
        <f t="shared" si="1"/>
        <v>0</v>
      </c>
      <c r="H20" s="9"/>
      <c r="I20" s="64">
        <f t="shared" ref="I20:I25" si="4">IF((M10-(-I10*3))&lt;0,0,M10-(-I10*3))</f>
        <v>0</v>
      </c>
      <c r="J20" s="64">
        <f t="shared" si="2"/>
        <v>0</v>
      </c>
      <c r="K20" s="65">
        <f t="shared" si="2"/>
        <v>0</v>
      </c>
      <c r="L20" s="72">
        <f t="shared" si="3"/>
        <v>0</v>
      </c>
      <c r="M20" s="32">
        <f t="shared" si="3"/>
        <v>0</v>
      </c>
      <c r="N20" s="64">
        <f t="shared" si="3"/>
        <v>0</v>
      </c>
      <c r="O20" s="65">
        <f t="shared" si="3"/>
        <v>0</v>
      </c>
      <c r="Q20" s="73">
        <f>VLOOKUP(B20,'list of materials'!A:F,5,0)</f>
        <v>25.945</v>
      </c>
    </row>
    <row r="21" spans="2:17" x14ac:dyDescent="0.3">
      <c r="B21" s="9">
        <v>867156</v>
      </c>
      <c r="C21" s="11" t="s">
        <v>12</v>
      </c>
      <c r="D21" s="9"/>
      <c r="E21" s="70">
        <f t="shared" si="1"/>
        <v>4.0780590717299576</v>
      </c>
      <c r="F21" s="70">
        <f t="shared" si="1"/>
        <v>0.48168498168498158</v>
      </c>
      <c r="G21" s="71">
        <f t="shared" si="1"/>
        <v>0</v>
      </c>
      <c r="H21" s="9"/>
      <c r="I21" s="64">
        <f t="shared" si="4"/>
        <v>511</v>
      </c>
      <c r="J21" s="64">
        <f t="shared" si="2"/>
        <v>0</v>
      </c>
      <c r="K21" s="65">
        <f t="shared" si="2"/>
        <v>0</v>
      </c>
      <c r="L21" s="72">
        <f t="shared" si="3"/>
        <v>0</v>
      </c>
      <c r="M21" s="32">
        <f t="shared" si="3"/>
        <v>2861.6000000000004</v>
      </c>
      <c r="N21" s="64">
        <f t="shared" si="3"/>
        <v>0</v>
      </c>
      <c r="O21" s="65">
        <f t="shared" si="3"/>
        <v>0</v>
      </c>
      <c r="Q21" s="73">
        <f>VLOOKUP(B21,'list of materials'!A:F,5,0)</f>
        <v>28</v>
      </c>
    </row>
    <row r="22" spans="2:17" x14ac:dyDescent="0.3">
      <c r="B22" s="9">
        <v>765190</v>
      </c>
      <c r="C22" s="11" t="s">
        <v>32</v>
      </c>
      <c r="D22" s="9"/>
      <c r="E22" s="70">
        <f t="shared" si="1"/>
        <v>3.2715231788079469</v>
      </c>
      <c r="F22" s="70">
        <f t="shared" si="1"/>
        <v>0.26205503660691731</v>
      </c>
      <c r="G22" s="71">
        <f t="shared" si="1"/>
        <v>0</v>
      </c>
      <c r="H22" s="9"/>
      <c r="I22" s="64">
        <f t="shared" si="4"/>
        <v>20.5</v>
      </c>
      <c r="J22" s="64">
        <f t="shared" si="2"/>
        <v>0</v>
      </c>
      <c r="K22" s="65">
        <f t="shared" si="2"/>
        <v>0</v>
      </c>
      <c r="L22" s="72">
        <f t="shared" si="3"/>
        <v>0</v>
      </c>
      <c r="M22" s="32">
        <f t="shared" si="3"/>
        <v>61.5</v>
      </c>
      <c r="N22" s="64">
        <f t="shared" si="3"/>
        <v>0</v>
      </c>
      <c r="O22" s="65">
        <f t="shared" si="3"/>
        <v>0</v>
      </c>
      <c r="Q22" s="73">
        <f>VLOOKUP(B22,'list of materials'!A:F,5,0)</f>
        <v>15</v>
      </c>
    </row>
    <row r="23" spans="2:17" x14ac:dyDescent="0.3">
      <c r="B23" s="9">
        <v>657341</v>
      </c>
      <c r="C23" s="11" t="s">
        <v>30</v>
      </c>
      <c r="D23" s="9"/>
      <c r="E23" s="70">
        <f t="shared" si="1"/>
        <v>4.3492063492063497</v>
      </c>
      <c r="F23" s="70">
        <f t="shared" si="1"/>
        <v>0.3534136546184739</v>
      </c>
      <c r="G23" s="71">
        <f t="shared" si="1"/>
        <v>0</v>
      </c>
      <c r="H23" s="9"/>
      <c r="I23" s="64">
        <f t="shared" si="4"/>
        <v>82.768750000000011</v>
      </c>
      <c r="J23" s="64">
        <f t="shared" si="2"/>
        <v>0</v>
      </c>
      <c r="K23" s="65">
        <f t="shared" si="2"/>
        <v>0</v>
      </c>
      <c r="L23" s="72">
        <f t="shared" si="3"/>
        <v>0</v>
      </c>
      <c r="M23" s="32">
        <f t="shared" si="3"/>
        <v>413.84375000000011</v>
      </c>
      <c r="N23" s="64">
        <f t="shared" si="3"/>
        <v>0</v>
      </c>
      <c r="O23" s="65">
        <f t="shared" si="3"/>
        <v>0</v>
      </c>
      <c r="Q23" s="73">
        <f>VLOOKUP(B23,'list of materials'!A:F,5,0)</f>
        <v>25</v>
      </c>
    </row>
    <row r="24" spans="2:17" x14ac:dyDescent="0.3">
      <c r="B24" s="9">
        <v>876145</v>
      </c>
      <c r="C24" s="11" t="s">
        <v>14</v>
      </c>
      <c r="D24" s="9"/>
      <c r="E24" s="70">
        <f t="shared" si="1"/>
        <v>0.10425633668101393</v>
      </c>
      <c r="F24" s="70">
        <f t="shared" si="1"/>
        <v>0.32038298655864478</v>
      </c>
      <c r="G24" s="71">
        <f t="shared" si="1"/>
        <v>0</v>
      </c>
      <c r="H24" s="9"/>
      <c r="I24" s="64">
        <f t="shared" si="4"/>
        <v>0</v>
      </c>
      <c r="J24" s="64">
        <f t="shared" si="2"/>
        <v>0</v>
      </c>
      <c r="K24" s="65">
        <f t="shared" si="2"/>
        <v>0</v>
      </c>
      <c r="L24" s="72">
        <f t="shared" si="3"/>
        <v>0</v>
      </c>
      <c r="M24" s="32">
        <f t="shared" si="3"/>
        <v>0</v>
      </c>
      <c r="N24" s="64">
        <f t="shared" si="3"/>
        <v>0</v>
      </c>
      <c r="O24" s="65">
        <f t="shared" si="3"/>
        <v>0</v>
      </c>
      <c r="Q24" s="73">
        <f>VLOOKUP(B24,'list of materials'!A:F,5,0)</f>
        <v>28.75</v>
      </c>
    </row>
    <row r="25" spans="2:17" x14ac:dyDescent="0.3">
      <c r="B25" s="15">
        <v>560196</v>
      </c>
      <c r="C25" s="17" t="s">
        <v>31</v>
      </c>
      <c r="D25" s="15"/>
      <c r="E25" s="50">
        <f t="shared" si="1"/>
        <v>2.2941176470588234</v>
      </c>
      <c r="F25" s="50">
        <f t="shared" si="1"/>
        <v>2.192448233861145E-2</v>
      </c>
      <c r="G25" s="51">
        <f t="shared" si="1"/>
        <v>0</v>
      </c>
      <c r="H25" s="15"/>
      <c r="I25" s="66">
        <f t="shared" si="4"/>
        <v>0</v>
      </c>
      <c r="J25" s="66">
        <f t="shared" si="2"/>
        <v>0</v>
      </c>
      <c r="K25" s="67">
        <f t="shared" si="2"/>
        <v>0</v>
      </c>
      <c r="L25" s="74">
        <f t="shared" si="3"/>
        <v>0</v>
      </c>
      <c r="M25" s="34">
        <f t="shared" si="3"/>
        <v>0</v>
      </c>
      <c r="N25" s="66">
        <f t="shared" si="3"/>
        <v>0</v>
      </c>
      <c r="O25" s="67">
        <f t="shared" si="3"/>
        <v>0</v>
      </c>
      <c r="Q25" s="75">
        <f>VLOOKUP(B25,'list of materials'!A:F,5,0)</f>
        <v>25</v>
      </c>
    </row>
    <row r="26" spans="2:17" x14ac:dyDescent="0.3">
      <c r="L26" s="76">
        <f>SUM(L19:L25)</f>
        <v>0</v>
      </c>
      <c r="M26" s="6">
        <f>SUM(M19:M25)</f>
        <v>3336.9437500000004</v>
      </c>
      <c r="N26" s="76">
        <f>SUM(N19:N25)</f>
        <v>0</v>
      </c>
      <c r="O26" s="76">
        <f>SUM(O19:O25)</f>
        <v>0</v>
      </c>
    </row>
    <row r="27" spans="2:17" x14ac:dyDescent="0.3">
      <c r="D27" s="245" t="s">
        <v>151</v>
      </c>
      <c r="E27" s="246"/>
      <c r="F27" s="246"/>
      <c r="G27" s="247"/>
    </row>
    <row r="28" spans="2:17" x14ac:dyDescent="0.3">
      <c r="D28" s="43" t="s">
        <v>77</v>
      </c>
      <c r="E28" s="40" t="s">
        <v>81</v>
      </c>
      <c r="F28" s="40" t="s">
        <v>82</v>
      </c>
      <c r="G28" s="41" t="s">
        <v>83</v>
      </c>
    </row>
    <row r="29" spans="2:17" x14ac:dyDescent="0.3">
      <c r="B29" s="18">
        <v>120301</v>
      </c>
      <c r="C29" s="31" t="s">
        <v>42</v>
      </c>
      <c r="D29" s="18"/>
      <c r="E29" s="37">
        <f>-(M19-L19)</f>
        <v>0</v>
      </c>
      <c r="F29" s="37">
        <f>-(N19-M19)</f>
        <v>0</v>
      </c>
      <c r="G29" s="38">
        <f>-(O19-N19)</f>
        <v>0</v>
      </c>
    </row>
    <row r="30" spans="2:17" x14ac:dyDescent="0.3">
      <c r="B30" s="9">
        <v>156212</v>
      </c>
      <c r="C30" s="11" t="s">
        <v>43</v>
      </c>
      <c r="D30" s="9"/>
      <c r="E30" s="32">
        <f t="shared" ref="E30:E35" si="5">-(M20-L20)</f>
        <v>0</v>
      </c>
      <c r="F30" s="32">
        <f t="shared" ref="F30:F35" si="6">-(N20-M20)</f>
        <v>0</v>
      </c>
      <c r="G30" s="13">
        <f t="shared" ref="G30:G35" si="7">-(O20-N20)</f>
        <v>0</v>
      </c>
    </row>
    <row r="31" spans="2:17" x14ac:dyDescent="0.3">
      <c r="B31" s="9">
        <v>867156</v>
      </c>
      <c r="C31" s="11" t="s">
        <v>12</v>
      </c>
      <c r="D31" s="9"/>
      <c r="E31" s="32">
        <f t="shared" si="5"/>
        <v>-2861.6000000000004</v>
      </c>
      <c r="F31" s="32">
        <f t="shared" si="6"/>
        <v>2861.6000000000004</v>
      </c>
      <c r="G31" s="13">
        <f t="shared" si="7"/>
        <v>0</v>
      </c>
    </row>
    <row r="32" spans="2:17" x14ac:dyDescent="0.3">
      <c r="B32" s="9">
        <v>765190</v>
      </c>
      <c r="C32" s="11" t="s">
        <v>32</v>
      </c>
      <c r="D32" s="9"/>
      <c r="E32" s="32">
        <f t="shared" si="5"/>
        <v>-61.5</v>
      </c>
      <c r="F32" s="32">
        <f t="shared" si="6"/>
        <v>61.5</v>
      </c>
      <c r="G32" s="13">
        <f t="shared" si="7"/>
        <v>0</v>
      </c>
    </row>
    <row r="33" spans="2:7" x14ac:dyDescent="0.3">
      <c r="B33" s="9">
        <v>657341</v>
      </c>
      <c r="C33" s="11" t="s">
        <v>30</v>
      </c>
      <c r="D33" s="9"/>
      <c r="E33" s="32">
        <f t="shared" si="5"/>
        <v>-413.84375000000011</v>
      </c>
      <c r="F33" s="32">
        <f t="shared" si="6"/>
        <v>413.84375000000011</v>
      </c>
      <c r="G33" s="13">
        <f t="shared" si="7"/>
        <v>0</v>
      </c>
    </row>
    <row r="34" spans="2:7" x14ac:dyDescent="0.3">
      <c r="B34" s="9">
        <v>876145</v>
      </c>
      <c r="C34" s="11" t="s">
        <v>14</v>
      </c>
      <c r="D34" s="9"/>
      <c r="E34" s="32">
        <f t="shared" si="5"/>
        <v>0</v>
      </c>
      <c r="F34" s="32">
        <f t="shared" si="6"/>
        <v>0</v>
      </c>
      <c r="G34" s="13">
        <f t="shared" si="7"/>
        <v>0</v>
      </c>
    </row>
    <row r="35" spans="2:7" x14ac:dyDescent="0.3">
      <c r="B35" s="15">
        <v>560196</v>
      </c>
      <c r="C35" s="17" t="s">
        <v>31</v>
      </c>
      <c r="D35" s="15"/>
      <c r="E35" s="34">
        <f t="shared" si="5"/>
        <v>0</v>
      </c>
      <c r="F35" s="34">
        <f t="shared" si="6"/>
        <v>0</v>
      </c>
      <c r="G35" s="35">
        <f t="shared" si="7"/>
        <v>0</v>
      </c>
    </row>
    <row r="36" spans="2:7" x14ac:dyDescent="0.3">
      <c r="D36" s="6">
        <f>SUM(D29:D35)</f>
        <v>0</v>
      </c>
      <c r="E36" s="6">
        <f>SUM(E29:E35)</f>
        <v>-3336.9437500000004</v>
      </c>
      <c r="F36" s="6">
        <f>SUM(F29:F35)</f>
        <v>3336.9437500000004</v>
      </c>
      <c r="G36" s="6">
        <f>SUM(G29:G35)</f>
        <v>0</v>
      </c>
    </row>
  </sheetData>
  <mergeCells count="7">
    <mergeCell ref="D27:G27"/>
    <mergeCell ref="D7:G7"/>
    <mergeCell ref="L7:O7"/>
    <mergeCell ref="H7:K7"/>
    <mergeCell ref="D17:G17"/>
    <mergeCell ref="H17:K17"/>
    <mergeCell ref="L17:O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P&amp;L</vt:lpstr>
      <vt:lpstr>IS</vt:lpstr>
      <vt:lpstr>.</vt:lpstr>
      <vt:lpstr>  </vt:lpstr>
      <vt:lpstr>SL</vt:lpstr>
      <vt:lpstr>list of materials</vt:lpstr>
      <vt:lpstr>BOM &amp; Std price</vt:lpstr>
      <vt:lpstr>MvT types</vt:lpstr>
      <vt:lpstr>Movements</vt:lpstr>
      <vt:lpstr>MvT pivot</vt:lpstr>
      <vt:lpstr>Stocks</vt:lpstr>
      <vt:lpstr>Sales</vt:lpstr>
      <vt:lpstr>Purchases &amp; PPV</vt:lpstr>
      <vt:lpstr>Stock reval</vt:lpstr>
      <vt:lpstr>Formulation &amp; overusage</vt:lpstr>
      <vt:lpstr>LOCOM</vt:lpstr>
      <vt:lpstr>Slow moving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2022-02-25T18:20:23Z</dcterms:modified>
</cp:coreProperties>
</file>